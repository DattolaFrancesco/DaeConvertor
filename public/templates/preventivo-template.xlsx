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li" sheetId="1" r:id="rId4"/>
    <sheet state="visible" name="totali" sheetId="2" r:id="rId5"/>
    <sheet state="visible" name="PORTE" sheetId="3" r:id="rId6"/>
    <sheet state="visible" name="FERRAMENTA" sheetId="4" r:id="rId7"/>
    <sheet state="visible" name="Foglio2" sheetId="5" r:id="rId8"/>
    <sheet state="visible" name="LED" sheetId="6" r:id="rId9"/>
    <sheet state="visible" name="Cucina" sheetId="7" r:id="rId10"/>
    <sheet state="visible" name="PREZZI e SCONTI riservati" sheetId="8" r:id="rId11"/>
    <sheet state="visible" name="Sezionatura" sheetId="9" r:id="rId12"/>
  </sheets>
  <definedNames/>
  <calcPr/>
  <extLst>
    <ext uri="GoogleSheetsCustomDataVersion2">
      <go:sheetsCustomData xmlns:go="http://customooxmlschemas.google.com/" r:id="rId13" roundtripDataChecksum="kcnb4HBb5FympD7ohvB9Pxc3Toj7ubYgpNajqig4AQI="/>
    </ext>
  </extLst>
</workbook>
</file>

<file path=xl/sharedStrings.xml><?xml version="1.0" encoding="utf-8"?>
<sst xmlns="http://schemas.openxmlformats.org/spreadsheetml/2006/main" count="957" uniqueCount="299">
  <si>
    <t>Compilare solo celle gialle</t>
  </si>
  <si>
    <t>1    bianco standard 19</t>
  </si>
  <si>
    <t>Fornitore</t>
  </si>
  <si>
    <t>2xl</t>
  </si>
  <si>
    <t>DIMENSIONI PEZZI mm</t>
  </si>
  <si>
    <t>ml</t>
  </si>
  <si>
    <t>mq</t>
  </si>
  <si>
    <t>Materiale</t>
  </si>
  <si>
    <t>krono K 101 BS</t>
  </si>
  <si>
    <t>h</t>
  </si>
  <si>
    <t>l</t>
  </si>
  <si>
    <t>qtà</t>
  </si>
  <si>
    <t>Descrizione</t>
  </si>
  <si>
    <t>ante</t>
  </si>
  <si>
    <t>TOTALE metri lineari (per bordi)</t>
  </si>
  <si>
    <t>TOTALE metri bordi arrotondato (ogni 50mt)</t>
  </si>
  <si>
    <t>Dimensione foglio in mm</t>
  </si>
  <si>
    <t>PREZZO metri bordi arrotondato</t>
  </si>
  <si>
    <t>LUNGHEZZA</t>
  </si>
  <si>
    <t>TOTALE mq</t>
  </si>
  <si>
    <t>LARGHEZZA</t>
  </si>
  <si>
    <t>TOTALE mq  con %SCARTI</t>
  </si>
  <si>
    <t>SPESSORE</t>
  </si>
  <si>
    <t>MQ</t>
  </si>
  <si>
    <t>numero fogli</t>
  </si>
  <si>
    <t>Prezzo netto fogli</t>
  </si>
  <si>
    <t>PREZZI LISTINO</t>
  </si>
  <si>
    <t>foglio</t>
  </si>
  <si>
    <t>TOTALE MATERIALE</t>
  </si>
  <si>
    <t>Sconto</t>
  </si>
  <si>
    <t>%Scarto</t>
  </si>
  <si>
    <t>BORDO</t>
  </si>
  <si>
    <t>prezzo listino mq</t>
  </si>
  <si>
    <t>PREZZI NETTI</t>
  </si>
  <si>
    <t>bordo</t>
  </si>
  <si>
    <t>2   bianco standard 25 mm</t>
  </si>
  <si>
    <t>struttura</t>
  </si>
  <si>
    <t>3   bianco schienali</t>
  </si>
  <si>
    <t>krono K 101 PE</t>
  </si>
  <si>
    <t>schiene</t>
  </si>
  <si>
    <t>4   mdf 19 mm</t>
  </si>
  <si>
    <t>MDF</t>
  </si>
  <si>
    <t>2XL</t>
  </si>
  <si>
    <t>mdf 25</t>
  </si>
  <si>
    <t>Nob 19 a scelta</t>
  </si>
  <si>
    <t xml:space="preserve">Nob 25 a scelta </t>
  </si>
  <si>
    <t>Nob 10 a scelta</t>
  </si>
  <si>
    <t>MATERIALI</t>
  </si>
  <si>
    <t>LACCATURA</t>
  </si>
  <si>
    <t>ORE</t>
  </si>
  <si>
    <t>CASSETTI</t>
  </si>
  <si>
    <t>FERRAMENTA E ACCESSORI</t>
  </si>
  <si>
    <t>LED</t>
  </si>
  <si>
    <t>ore</t>
  </si>
  <si>
    <t>specchi</t>
  </si>
  <si>
    <t>prezzo netto</t>
  </si>
  <si>
    <t>prezzo netto mq</t>
  </si>
  <si>
    <t xml:space="preserve">prezzo netto </t>
  </si>
  <si>
    <t xml:space="preserve">ferramenta </t>
  </si>
  <si>
    <t>maggiorazione</t>
  </si>
  <si>
    <t>TOT</t>
  </si>
  <si>
    <t xml:space="preserve">sconto </t>
  </si>
  <si>
    <t>TOT SCONTATO</t>
  </si>
  <si>
    <t>TOTALE</t>
  </si>
  <si>
    <t>Provvigione</t>
  </si>
  <si>
    <t>TOTALE SCONTATO</t>
  </si>
  <si>
    <t>TABELLA PER PREVENTIVI PORTE</t>
  </si>
  <si>
    <t>Maggiorazioni Standard</t>
  </si>
  <si>
    <t>Pose Standard</t>
  </si>
  <si>
    <t xml:space="preserve">DANESI </t>
  </si>
  <si>
    <t>VIEMME</t>
  </si>
  <si>
    <t>Battente</t>
  </si>
  <si>
    <t>"+60%"</t>
  </si>
  <si>
    <t>ok LISTINO</t>
  </si>
  <si>
    <t>Scorrevole interna</t>
  </si>
  <si>
    <t>Scorrevole esterna</t>
  </si>
  <si>
    <t>PORTE</t>
  </si>
  <si>
    <t>Altro</t>
  </si>
  <si>
    <t>Articolo</t>
  </si>
  <si>
    <t>Tipoloogia</t>
  </si>
  <si>
    <t>Dimensioni (cm)</t>
  </si>
  <si>
    <t>netto</t>
  </si>
  <si>
    <t>Prezzo di vendita</t>
  </si>
  <si>
    <t>Posa</t>
  </si>
  <si>
    <t>Totale</t>
  </si>
  <si>
    <t>Porta laccata ceca liscia</t>
  </si>
  <si>
    <t>Porta camera mat</t>
  </si>
  <si>
    <t>80x210x11 DX</t>
  </si>
  <si>
    <t>DANESI</t>
  </si>
  <si>
    <t>Extra da quantificare a parte (prezzo finito al cliente)</t>
  </si>
  <si>
    <t>Rallentatore in chiusura/apertura (solo per scorrevoli con controtelaio ECLISSE)</t>
  </si>
  <si>
    <t>"+100€/cad"</t>
  </si>
  <si>
    <t xml:space="preserve">Aletta lunga 1 lato per sp mattonella </t>
  </si>
  <si>
    <t>listino VIEMME</t>
  </si>
  <si>
    <t>Trasporto piani Alti</t>
  </si>
  <si>
    <t>da quantificare</t>
  </si>
  <si>
    <t>Rimozione falso per adattamento a misure standard</t>
  </si>
  <si>
    <t>"+10€/cad"</t>
  </si>
  <si>
    <t>Montaggio senza falso con schiuma e/o Turboviti</t>
  </si>
  <si>
    <t>"+30€/cad"</t>
  </si>
  <si>
    <t>Smontaggio e smaltimento porte esistenti</t>
  </si>
  <si>
    <t>Taglio in altezza di pochi cm valido solo per VIEMME</t>
  </si>
  <si>
    <t>Maniglia</t>
  </si>
  <si>
    <t>Standard IDOOR +25€</t>
  </si>
  <si>
    <t>Altre vedi listino COLOMBO</t>
  </si>
  <si>
    <t>BATTISCOPA</t>
  </si>
  <si>
    <t>fornitore</t>
  </si>
  <si>
    <t>Listino Danesi +40%</t>
  </si>
  <si>
    <t>Con sigillatura</t>
  </si>
  <si>
    <t>6,5€/mt</t>
  </si>
  <si>
    <t>Listino VIEMME +7%(aumento 2024)</t>
  </si>
  <si>
    <t xml:space="preserve">senza sigillatura </t>
  </si>
  <si>
    <t>5,8€/mt</t>
  </si>
  <si>
    <r>
      <rPr>
        <rFont val="Calibri"/>
        <b/>
        <i/>
        <color theme="1"/>
        <sz val="14.0"/>
      </rPr>
      <t xml:space="preserve">BLINDATI prezzi di vendita </t>
    </r>
    <r>
      <rPr>
        <rFont val="Calibri"/>
        <b/>
        <i/>
        <color theme="1"/>
        <sz val="12.0"/>
      </rPr>
      <t>(</t>
    </r>
    <r>
      <rPr>
        <rFont val="Calibri"/>
        <b val="0"/>
        <i/>
        <color theme="1"/>
        <sz val="12.0"/>
      </rPr>
      <t>per fuori standard chiedere preventivo a PDM)</t>
    </r>
  </si>
  <si>
    <t>PORTA BLINDATA TOP2000 89x209
 (esclusi pannelli, escluso falso)</t>
  </si>
  <si>
    <t>FALSI PER PORTE BLINDATE 1B DA 89x209</t>
  </si>
  <si>
    <t>Kit pomolo pigna top2000</t>
  </si>
  <si>
    <t>POSA BLINDATO falso gia murato</t>
  </si>
  <si>
    <t>Pannelli rivestimento</t>
  </si>
  <si>
    <t>prev DANESI o listino IDOOR</t>
  </si>
  <si>
    <t>Montaggio Pannelli (cad)</t>
  </si>
  <si>
    <t>Sostituzione pannello blindato esistente 
+ prezzo rivestimento</t>
  </si>
  <si>
    <t>NAVETRO</t>
  </si>
  <si>
    <t>speecchio 4 mm MFL</t>
  </si>
  <si>
    <t>specchio x ante ecc MOLATO FILO LUCIDO</t>
  </si>
  <si>
    <t>65€/mq min fatt 0,5 mq</t>
  </si>
  <si>
    <t>ACCOPPIATO 3+3 SATINATO</t>
  </si>
  <si>
    <t>vetro 3+3 satinato SOLO TAGLIO</t>
  </si>
  <si>
    <t>94€/mq min fatt 0,5 mq</t>
  </si>
  <si>
    <t>accoppiato 3+3 Solo taglio</t>
  </si>
  <si>
    <t>35€/mq min fatt. 0,5 mq</t>
  </si>
  <si>
    <t>5 mm molato temperato</t>
  </si>
  <si>
    <t>36€/mq min. fatt 0,5 m</t>
  </si>
  <si>
    <t>PIENSI</t>
  </si>
  <si>
    <t xml:space="preserve">Gola-Top bin E18 2.35MT opc </t>
  </si>
  <si>
    <t>gola alluminio su fondo pensile x anta senza maniglia</t>
  </si>
  <si>
    <t>10€/mt</t>
  </si>
  <si>
    <t>Profilo albeam 2 OCP 2,35MT</t>
  </si>
  <si>
    <t>catene in alluminio x cucina</t>
  </si>
  <si>
    <t>Supporto albeam2 lat 2xvit</t>
  </si>
  <si>
    <t>supporto p fissaggio catena</t>
  </si>
  <si>
    <t>1€/coppia</t>
  </si>
  <si>
    <t>LAMELLO DIVARIO P18</t>
  </si>
  <si>
    <t>ferramenta per ripaini astruttrale e invisibile(a scorrimento)</t>
  </si>
  <si>
    <t>1,4€/cad</t>
  </si>
  <si>
    <t xml:space="preserve"> profilo gola COSMA 777</t>
  </si>
  <si>
    <t>gola alluminio a Z per ante (aggingere l'eventuale verniciatura)</t>
  </si>
  <si>
    <t>12€/mt</t>
  </si>
  <si>
    <t>Binario FLOW allum opaco 3,9MT</t>
  </si>
  <si>
    <t>binario singolo x ante scorrevoli</t>
  </si>
  <si>
    <t>Kit SOFT 1 anta 60Kg FLOW</t>
  </si>
  <si>
    <t>kit carrelli x 1 anta scorrevole</t>
  </si>
  <si>
    <t>7€/cad</t>
  </si>
  <si>
    <t>Raddrizante 1840/2250 mm</t>
  </si>
  <si>
    <t>raddrizza ante HAFELE prezzo per anta</t>
  </si>
  <si>
    <t xml:space="preserve">Raddrizante 2248/2650mm </t>
  </si>
  <si>
    <t>hafele Betlift per letto trasversale</t>
  </si>
  <si>
    <t>meccanismo per letto ribalta nell'armadio</t>
  </si>
  <si>
    <t>FERPORT</t>
  </si>
  <si>
    <t>CERNIERA TIMOS PER ANTA</t>
  </si>
  <si>
    <t>cerniera per anta aribalta</t>
  </si>
  <si>
    <t>6,7€/cad</t>
  </si>
  <si>
    <t xml:space="preserve">PIEDINO CUCINA </t>
  </si>
  <si>
    <t>piedino per cucina in ferro h 12 cm</t>
  </si>
  <si>
    <t>1€/cad</t>
  </si>
  <si>
    <t>LIVELLATORE LAT</t>
  </si>
  <si>
    <t>piedino standard armadio h 32 mm</t>
  </si>
  <si>
    <t>1 €/cad</t>
  </si>
  <si>
    <t>GUIDE 40KG X LEGRABOX 40-45-50CM</t>
  </si>
  <si>
    <t>guide cassetto LEGRABOX 50 cm</t>
  </si>
  <si>
    <t>20€/cassetto</t>
  </si>
  <si>
    <t>SET SPONDE LEGRABOX M 50 CM</t>
  </si>
  <si>
    <t>sponde legrabox M da 50 cm</t>
  </si>
  <si>
    <t>18€/cassetto</t>
  </si>
  <si>
    <t>SET SPONDE LEGRABOX N 50 CM</t>
  </si>
  <si>
    <t>sponde legrabox N da 50 cm</t>
  </si>
  <si>
    <t>SET SPONDE LEGRABOX K 50 CM</t>
  </si>
  <si>
    <t>sponde legrabox K da 50 cm</t>
  </si>
  <si>
    <t>21€/cassetto</t>
  </si>
  <si>
    <t>FRONT INT LEGRABOX M</t>
  </si>
  <si>
    <t>frontale e agganci per cassetto interno legrabox M</t>
  </si>
  <si>
    <t>VASCA LAV LEGRABOX</t>
  </si>
  <si>
    <t>C per cassetto sottolavello LEGRABOX</t>
  </si>
  <si>
    <t>8€/cad</t>
  </si>
  <si>
    <t>TUBO FLESSIBILE 3MT D.120</t>
  </si>
  <si>
    <t>tubo flessibile x cappe cucina</t>
  </si>
  <si>
    <t>MINIWICH 10 KG + copertura</t>
  </si>
  <si>
    <t>meccanismo per anta a ribalta veso il basso</t>
  </si>
  <si>
    <t>32€/cad</t>
  </si>
  <si>
    <t>TENDICAVO SOFFITTO+ CAVO</t>
  </si>
  <si>
    <t>tiranti per mensole a soffitto</t>
  </si>
  <si>
    <t>10€/per mensola</t>
  </si>
  <si>
    <t>TIP-ON</t>
  </si>
  <si>
    <t>tip-on BLUM</t>
  </si>
  <si>
    <t>3,8€/cad</t>
  </si>
  <si>
    <t>KIT SCIVOLA Q</t>
  </si>
  <si>
    <t>maniglie quadrate libero /occ NERO x kit scivola</t>
  </si>
  <si>
    <t>22€/cad</t>
  </si>
  <si>
    <t>SERRATURA X KIT SCIVOLA</t>
  </si>
  <si>
    <t>serratura x kit scivola</t>
  </si>
  <si>
    <t>16€/cad</t>
  </si>
  <si>
    <t>MANIGLIA MARELLA</t>
  </si>
  <si>
    <t>Maniglia ottone anticato MARELLA interasse 128</t>
  </si>
  <si>
    <t>GOLA EMUCA SU BASI NERA</t>
  </si>
  <si>
    <t>gola alluminio nera da 3,9 mt per basi</t>
  </si>
  <si>
    <t>AVENTOS HK TOP</t>
  </si>
  <si>
    <t>Aventos BLUM</t>
  </si>
  <si>
    <t>50€/per pensile</t>
  </si>
  <si>
    <t>MAGIC 2 PORTE S CORREVOLI 80KG</t>
  </si>
  <si>
    <t>ternoscorrevoli magic 2 150 cm</t>
  </si>
  <si>
    <t>KIT PER PORTA SCORREVOLE 80KG CLASSIC AMMORTIZ</t>
  </si>
  <si>
    <t>ternoscorrevoli classic fluid kit carrelli esclusa guida</t>
  </si>
  <si>
    <t xml:space="preserve">639-655 KIT PER 1 ANTA PORTATA 50KG </t>
  </si>
  <si>
    <t>scorrevole classico per antine piccolo prezzo x 1anta</t>
  </si>
  <si>
    <t>PROFILO PER PORTA SCORREVOLE CLASSIC</t>
  </si>
  <si>
    <t>guida ternoscorrevoli x porta scorrevole classic</t>
  </si>
  <si>
    <t>15€/mt</t>
  </si>
  <si>
    <t>CERNIERA ANKOR DS-30</t>
  </si>
  <si>
    <t xml:space="preserve">cerniera incassata nel cielo e fondo bella (calcolarne 2 per anta) </t>
  </si>
  <si>
    <t>25€/cad</t>
  </si>
  <si>
    <t>SERVETTO 10KG 77-120CM GRIGIO-PIOMBO</t>
  </si>
  <si>
    <t>COPPIA BINARI 3MT (SUP. + INF)</t>
  </si>
  <si>
    <t>binari x ante scorrevole OMGE</t>
  </si>
  <si>
    <t>KIT SISTEMA SORREVOLE 2 ANTE SP. 16-43MM</t>
  </si>
  <si>
    <t>carrelli x 2 ante scorrevoli OMGE</t>
  </si>
  <si>
    <t>MANIGLIA INCASSO PER PORTE SCORREVOLI NERO OPACO</t>
  </si>
  <si>
    <t>maniglie rettangolari PAMAR MN 1097 Z</t>
  </si>
  <si>
    <t>PASSACAVO RETTANGOLARE 159X80 ALL.ANOD.ARGENTO</t>
  </si>
  <si>
    <t>EMUCA</t>
  </si>
  <si>
    <t>ARCHE'</t>
  </si>
  <si>
    <t>Piastre x spondina letto</t>
  </si>
  <si>
    <t>60€ la coppia</t>
  </si>
  <si>
    <t>PREZZO</t>
  </si>
  <si>
    <t>codice prodotto</t>
  </si>
  <si>
    <t>descrizione</t>
  </si>
  <si>
    <t>vendita</t>
  </si>
  <si>
    <t>min fatt</t>
  </si>
  <si>
    <t>Lunghezza</t>
  </si>
  <si>
    <t>Ferport</t>
  </si>
  <si>
    <t>X</t>
  </si>
  <si>
    <t>piedino per cucina in ferro h 6-8-10-12 cm</t>
  </si>
  <si>
    <t>LIVELLATORE LATERLAE</t>
  </si>
  <si>
    <t>tiranti per mensole a soffitto (prezzo per mrensola)</t>
  </si>
  <si>
    <t>Metalarredo</t>
  </si>
  <si>
    <t>LED P65 DALA</t>
  </si>
  <si>
    <t>profili policarbonato x interno armadi</t>
  </si>
  <si>
    <t>1mt</t>
  </si>
  <si>
    <t>LED P42 KALOS</t>
  </si>
  <si>
    <t>profilo standard per mesole tagliato a misura</t>
  </si>
  <si>
    <t>LED P 63 RYA</t>
  </si>
  <si>
    <t>profilo sottopensile</t>
  </si>
  <si>
    <t>KIT ALIMENTATORE 50W</t>
  </si>
  <si>
    <t>calcola 11W per mt</t>
  </si>
  <si>
    <t>KIT ALIMENTATORE 75W</t>
  </si>
  <si>
    <t>KIT ALIMENTATORE DIMMERABILE</t>
  </si>
  <si>
    <t>INTERRUTTORE NERO FINE CORSA</t>
  </si>
  <si>
    <t xml:space="preserve"> sensore per ante armadi</t>
  </si>
  <si>
    <t>DISTRIBUTORE 4 VIE 12/24V DC</t>
  </si>
  <si>
    <t>connettore per più LED a stesso interruttore (es. armadio 2 ante)</t>
  </si>
  <si>
    <t>CUCINA</t>
  </si>
  <si>
    <t>Codice/produttore</t>
  </si>
  <si>
    <t>Dimensioni Max (mt)</t>
  </si>
  <si>
    <t>Minima fatt.</t>
  </si>
  <si>
    <t>misura (mt)</t>
  </si>
  <si>
    <t>quantità</t>
  </si>
  <si>
    <t>Sensibili al legno</t>
  </si>
  <si>
    <t>listino</t>
  </si>
  <si>
    <t>Centin</t>
  </si>
  <si>
    <t>cerniera blum +  basetta</t>
  </si>
  <si>
    <t>CENTRO CERAMICHE</t>
  </si>
  <si>
    <t>top rovere rustico resinato nero sp 4</t>
  </si>
  <si>
    <t>500€ mq</t>
  </si>
  <si>
    <t>mi fatt 0,6mq</t>
  </si>
  <si>
    <t>materiale</t>
  </si>
  <si>
    <t>sezionatura</t>
  </si>
  <si>
    <t>Bordo</t>
  </si>
  <si>
    <t>bordatura</t>
  </si>
  <si>
    <t>levigatura</t>
  </si>
  <si>
    <t>verniciatura</t>
  </si>
  <si>
    <t>verniciatura 2 lati</t>
  </si>
  <si>
    <t>LAVORAZIONI CNC</t>
  </si>
  <si>
    <t>NO</t>
  </si>
  <si>
    <t>MATERIALE</t>
  </si>
  <si>
    <t xml:space="preserve">maggiorazione </t>
  </si>
  <si>
    <t>TOTALI</t>
  </si>
  <si>
    <t>Provigione</t>
  </si>
  <si>
    <t>SEZIONATURA</t>
  </si>
  <si>
    <t>sezionatura &lt;1mq</t>
  </si>
  <si>
    <t>sezionatura &gt;1mq</t>
  </si>
  <si>
    <t>BORDATURA</t>
  </si>
  <si>
    <t>bordatura ml</t>
  </si>
  <si>
    <t>LEVIGATURA</t>
  </si>
  <si>
    <t>levigatura&lt; 1mq</t>
  </si>
  <si>
    <t>levigatura&gt; 1mq</t>
  </si>
  <si>
    <t>VERNICIATURA</t>
  </si>
  <si>
    <t>LAVORAZIONE CNC</t>
  </si>
  <si>
    <t>Facile</t>
  </si>
  <si>
    <t>Media</t>
  </si>
  <si>
    <t>Difficile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</si>
</sst>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0\ &quot;€&quot;"/>
    <numFmt numFmtId="165" formatCode="[$€-2]\ #,##0.00"/>
    <numFmt numFmtId="166" formatCode="[$€-2]\ #,##0"/>
    <numFmt numFmtId="167" formatCode="#,##0&quot;€&quot;"/>
    <numFmt numFmtId="168" formatCode="#,##0.0[$€/mt]"/>
    <numFmt numFmtId="169" formatCode="#,##0.00[$mt]"/>
    <numFmt numFmtId="170" formatCode="#,##0[$€/mt]"/>
    <numFmt numFmtId="171" formatCode="[$mt]#,##0.00"/>
    <numFmt numFmtId="172" formatCode="[$€/mt]#,##0.00"/>
  </numFmts>
  <fonts count="20">
    <font>
      <sz val="12.0"/>
      <color theme="1"/>
      <name val="Calibri"/>
      <scheme val="minor"/>
    </font>
    <font>
      <b/>
      <i/>
      <sz val="14.0"/>
      <color theme="1"/>
      <name val="Calibri"/>
    </font>
    <font/>
    <font>
      <color theme="1"/>
      <name val="Calibri"/>
    </font>
    <font>
      <b/>
      <color theme="1"/>
      <name val="Calibri"/>
    </font>
    <font>
      <b/>
      <sz val="12.0"/>
      <color theme="1"/>
      <name val="Calibri"/>
    </font>
    <font>
      <sz val="12.0"/>
      <color rgb="FFFF0000"/>
      <name val="Calibri"/>
    </font>
    <font>
      <sz val="12.0"/>
      <color theme="1"/>
      <name val="Calibri"/>
    </font>
    <font>
      <color rgb="FFFF0000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5.0"/>
      <color theme="1"/>
      <name val="Calibri"/>
    </font>
    <font>
      <b/>
      <i/>
      <color theme="1"/>
      <name val="Calibri"/>
    </font>
    <font>
      <sz val="11.0"/>
      <color theme="1"/>
      <name val="Arial"/>
    </font>
    <font>
      <sz val="11.0"/>
      <color rgb="FF000000"/>
      <name val="Arial"/>
    </font>
    <font>
      <color theme="1"/>
      <name val="Calibri"/>
      <scheme val="minor"/>
    </font>
    <font>
      <b/>
      <sz val="12.0"/>
      <color rgb="FF000000"/>
      <name val="Calibri"/>
    </font>
    <font>
      <color rgb="FF000000"/>
      <name val="Calibri"/>
    </font>
    <font>
      <sz val="12.0"/>
      <color rgb="FF000000"/>
      <name val="Calibri"/>
    </font>
    <font>
      <b/>
      <sz val="13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</fills>
  <borders count="5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/>
    </xf>
    <xf borderId="4" fillId="0" fontId="4" numFmtId="0" xfId="0" applyBorder="1" applyFont="1"/>
    <xf borderId="1" fillId="4" fontId="3" numFmtId="0" xfId="0" applyBorder="1" applyFill="1" applyFont="1"/>
    <xf borderId="5" fillId="0" fontId="3" numFmtId="0" xfId="0" applyBorder="1" applyFont="1"/>
    <xf borderId="1" fillId="0" fontId="5" numFmtId="0" xfId="0" applyBorder="1" applyFont="1"/>
    <xf borderId="4" fillId="0" fontId="6" numFmtId="0" xfId="0" applyBorder="1" applyFont="1"/>
    <xf borderId="4" fillId="0" fontId="5" numFmtId="0" xfId="0" applyBorder="1" applyFont="1"/>
    <xf borderId="5" fillId="0" fontId="7" numFmtId="0" xfId="0" applyBorder="1" applyFont="1"/>
    <xf borderId="6" fillId="0" fontId="3" numFmtId="0" xfId="0" applyBorder="1" applyFont="1"/>
    <xf borderId="4" fillId="0" fontId="7" numFmtId="0" xfId="0" applyBorder="1" applyFont="1"/>
    <xf borderId="0" fillId="0" fontId="7" numFmtId="0" xfId="0" applyFont="1"/>
    <xf borderId="7" fillId="0" fontId="3" numFmtId="0" xfId="0" applyBorder="1" applyFont="1"/>
    <xf borderId="4" fillId="4" fontId="7" numFmtId="1" xfId="0" applyBorder="1" applyFont="1" applyNumberFormat="1"/>
    <xf borderId="4" fillId="0" fontId="6" numFmtId="2" xfId="0" applyBorder="1" applyFont="1" applyNumberFormat="1"/>
    <xf borderId="0" fillId="0" fontId="7" numFmtId="2" xfId="0" applyFont="1" applyNumberFormat="1"/>
    <xf borderId="1" fillId="0" fontId="7" numFmtId="0" xfId="0" applyAlignment="1" applyBorder="1" applyFont="1">
      <alignment horizontal="left"/>
    </xf>
    <xf borderId="4" fillId="5" fontId="7" numFmtId="2" xfId="0" applyBorder="1" applyFill="1" applyFont="1" applyNumberFormat="1"/>
    <xf borderId="8" fillId="0" fontId="3" numFmtId="0" xfId="0" applyBorder="1" applyFont="1"/>
    <xf borderId="4" fillId="5" fontId="7" numFmtId="1" xfId="0" applyBorder="1" applyFont="1" applyNumberFormat="1"/>
    <xf borderId="1" fillId="0" fontId="4" numFmtId="0" xfId="0" applyAlignment="1" applyBorder="1" applyFont="1">
      <alignment horizontal="center"/>
    </xf>
    <xf borderId="4" fillId="5" fontId="7" numFmtId="164" xfId="0" applyBorder="1" applyFont="1" applyNumberFormat="1"/>
    <xf borderId="4" fillId="0" fontId="3" numFmtId="0" xfId="0" applyBorder="1" applyFont="1"/>
    <xf borderId="4" fillId="4" fontId="7" numFmtId="2" xfId="0" applyBorder="1" applyFont="1" applyNumberFormat="1"/>
    <xf borderId="4" fillId="4" fontId="7" numFmtId="0" xfId="0" applyBorder="1" applyFont="1"/>
    <xf borderId="0" fillId="0" fontId="6" numFmtId="2" xfId="0" applyFont="1" applyNumberFormat="1"/>
    <xf borderId="4" fillId="4" fontId="7" numFmtId="165" xfId="0" applyAlignment="1" applyBorder="1" applyFont="1" applyNumberFormat="1">
      <alignment readingOrder="0"/>
    </xf>
    <xf borderId="0" fillId="0" fontId="7" numFmtId="164" xfId="0" applyFont="1" applyNumberFormat="1"/>
    <xf borderId="4" fillId="0" fontId="6" numFmtId="164" xfId="0" applyBorder="1" applyFont="1" applyNumberFormat="1"/>
    <xf borderId="9" fillId="6" fontId="7" numFmtId="0" xfId="0" applyAlignment="1" applyBorder="1" applyFill="1" applyFont="1">
      <alignment horizontal="left"/>
    </xf>
    <xf borderId="10" fillId="0" fontId="2" numFmtId="0" xfId="0" applyBorder="1" applyFont="1"/>
    <xf borderId="4" fillId="4" fontId="7" numFmtId="9" xfId="0" applyBorder="1" applyFont="1" applyNumberFormat="1"/>
    <xf borderId="11" fillId="6" fontId="7" numFmtId="164" xfId="0" applyAlignment="1" applyBorder="1" applyFont="1" applyNumberFormat="1">
      <alignment horizontal="center"/>
    </xf>
    <xf borderId="12" fillId="0" fontId="2" numFmtId="0" xfId="0" applyBorder="1" applyFont="1"/>
    <xf borderId="4" fillId="4" fontId="7" numFmtId="164" xfId="0" applyBorder="1" applyFont="1" applyNumberFormat="1"/>
    <xf borderId="13" fillId="0" fontId="3" numFmtId="0" xfId="0" applyBorder="1" applyFont="1"/>
    <xf borderId="14" fillId="0" fontId="3" numFmtId="0" xfId="0" applyBorder="1" applyFont="1"/>
    <xf borderId="4" fillId="4" fontId="7" numFmtId="2" xfId="0" applyAlignment="1" applyBorder="1" applyFont="1" applyNumberFormat="1">
      <alignment readingOrder="0"/>
    </xf>
    <xf borderId="4" fillId="4" fontId="7" numFmtId="9" xfId="0" applyAlignment="1" applyBorder="1" applyFont="1" applyNumberFormat="1">
      <alignment readingOrder="0"/>
    </xf>
    <xf borderId="4" fillId="4" fontId="7" numFmtId="164" xfId="0" applyAlignment="1" applyBorder="1" applyFont="1" applyNumberFormat="1">
      <alignment readingOrder="0"/>
    </xf>
    <xf borderId="1" fillId="4" fontId="3" numFmtId="0" xfId="0" applyAlignment="1" applyBorder="1" applyFont="1">
      <alignment readingOrder="0"/>
    </xf>
    <xf borderId="4" fillId="4" fontId="7" numFmtId="1" xfId="0" applyAlignment="1" applyBorder="1" applyFont="1" applyNumberFormat="1">
      <alignment readingOrder="0"/>
    </xf>
    <xf borderId="4" fillId="4" fontId="7" numFmtId="165" xfId="0" applyBorder="1" applyFont="1" applyNumberFormat="1"/>
    <xf borderId="4" fillId="4" fontId="3" numFmtId="0" xfId="0" applyBorder="1" applyFont="1"/>
    <xf borderId="4" fillId="4" fontId="3" numFmtId="0" xfId="0" applyAlignment="1" applyBorder="1" applyFont="1">
      <alignment readingOrder="0"/>
    </xf>
    <xf borderId="4" fillId="0" fontId="8" numFmtId="164" xfId="0" applyBorder="1" applyFont="1" applyNumberFormat="1"/>
    <xf borderId="4" fillId="4" fontId="3" numFmtId="10" xfId="0" applyBorder="1" applyFont="1" applyNumberFormat="1"/>
    <xf borderId="4" fillId="5" fontId="3" numFmtId="165" xfId="0" applyBorder="1" applyFont="1" applyNumberFormat="1"/>
    <xf borderId="4" fillId="6" fontId="9" numFmtId="0" xfId="0" applyBorder="1" applyFont="1"/>
    <xf borderId="4" fillId="6" fontId="9" numFmtId="165" xfId="0" applyBorder="1" applyFont="1" applyNumberFormat="1"/>
    <xf borderId="4" fillId="6" fontId="3" numFmtId="0" xfId="0" applyBorder="1" applyFont="1"/>
    <xf borderId="4" fillId="6" fontId="10" numFmtId="0" xfId="0" applyBorder="1" applyFont="1"/>
    <xf borderId="4" fillId="6" fontId="10" numFmtId="9" xfId="0" applyAlignment="1" applyBorder="1" applyFont="1" applyNumberFormat="1">
      <alignment readingOrder="0"/>
    </xf>
    <xf borderId="4" fillId="6" fontId="10" numFmtId="0" xfId="0" applyAlignment="1" applyBorder="1" applyFont="1">
      <alignment readingOrder="0"/>
    </xf>
    <xf borderId="4" fillId="6" fontId="9" numFmtId="10" xfId="0" applyAlignment="1" applyBorder="1" applyFont="1" applyNumberFormat="1">
      <alignment readingOrder="0"/>
    </xf>
    <xf borderId="0" fillId="0" fontId="3" numFmtId="0" xfId="0" applyFont="1"/>
    <xf borderId="15" fillId="7" fontId="3" numFmtId="0" xfId="0" applyAlignment="1" applyBorder="1" applyFill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15" fillId="2" fontId="3" numFmtId="0" xfId="0" applyAlignment="1" applyBorder="1" applyFont="1">
      <alignment horizontal="center"/>
    </xf>
    <xf borderId="8" fillId="8" fontId="3" numFmtId="0" xfId="0" applyBorder="1" applyFill="1" applyFont="1"/>
    <xf borderId="7" fillId="8" fontId="3" numFmtId="0" xfId="0" applyBorder="1" applyFont="1"/>
    <xf borderId="18" fillId="8" fontId="3" numFmtId="0" xfId="0" applyBorder="1" applyFont="1"/>
    <xf borderId="19" fillId="4" fontId="3" numFmtId="0" xfId="0" applyBorder="1" applyFont="1"/>
    <xf borderId="19" fillId="4" fontId="3" numFmtId="166" xfId="0" applyBorder="1" applyFont="1" applyNumberFormat="1"/>
    <xf borderId="0" fillId="8" fontId="3" numFmtId="0" xfId="0" applyFont="1"/>
    <xf borderId="4" fillId="4" fontId="3" numFmtId="166" xfId="0" applyBorder="1" applyFont="1" applyNumberFormat="1"/>
    <xf borderId="20" fillId="8" fontId="3" numFmtId="0" xfId="0" applyBorder="1" applyFont="1"/>
    <xf borderId="14" fillId="8" fontId="3" numFmtId="0" xfId="0" applyBorder="1" applyFont="1"/>
    <xf borderId="19" fillId="8" fontId="3" numFmtId="0" xfId="0" applyBorder="1" applyFont="1"/>
    <xf borderId="21" fillId="9" fontId="11" numFmtId="0" xfId="0" applyBorder="1" applyFill="1" applyFont="1"/>
    <xf borderId="22" fillId="0" fontId="2" numFmtId="0" xfId="0" applyBorder="1" applyFont="1"/>
    <xf borderId="23" fillId="0" fontId="12" numFmtId="0" xfId="0" applyBorder="1" applyFont="1"/>
    <xf borderId="23" fillId="8" fontId="12" numFmtId="0" xfId="0" applyBorder="1" applyFont="1"/>
    <xf borderId="23" fillId="10" fontId="12" numFmtId="0" xfId="0" applyBorder="1" applyFill="1" applyFont="1"/>
    <xf borderId="23" fillId="4" fontId="12" numFmtId="0" xfId="0" applyBorder="1" applyFont="1"/>
    <xf borderId="23" fillId="5" fontId="12" numFmtId="0" xfId="0" applyBorder="1" applyFont="1"/>
    <xf borderId="0" fillId="0" fontId="12" numFmtId="0" xfId="0" applyFont="1"/>
    <xf borderId="19" fillId="0" fontId="3" numFmtId="0" xfId="0" applyBorder="1" applyFont="1"/>
    <xf borderId="19" fillId="0" fontId="3" numFmtId="165" xfId="0" applyBorder="1" applyFont="1" applyNumberFormat="1"/>
    <xf borderId="19" fillId="8" fontId="3" numFmtId="10" xfId="0" applyBorder="1" applyFont="1" applyNumberFormat="1"/>
    <xf borderId="19" fillId="4" fontId="3" numFmtId="165" xfId="0" applyBorder="1" applyFont="1" applyNumberFormat="1"/>
    <xf borderId="19" fillId="5" fontId="3" numFmtId="165" xfId="0" applyBorder="1" applyFont="1" applyNumberFormat="1"/>
    <xf borderId="4" fillId="0" fontId="3" numFmtId="165" xfId="0" applyBorder="1" applyFont="1" applyNumberFormat="1"/>
    <xf borderId="4" fillId="8" fontId="3" numFmtId="0" xfId="0" applyBorder="1" applyFont="1"/>
    <xf borderId="4" fillId="4" fontId="3" numFmtId="165" xfId="0" applyBorder="1" applyFont="1" applyNumberFormat="1"/>
    <xf borderId="23" fillId="6" fontId="9" numFmtId="0" xfId="0" applyBorder="1" applyFont="1"/>
    <xf borderId="23" fillId="6" fontId="9" numFmtId="165" xfId="0" applyBorder="1" applyFont="1" applyNumberFormat="1"/>
    <xf borderId="15" fillId="0" fontId="1" numFmtId="0" xfId="0" applyAlignment="1" applyBorder="1" applyFont="1">
      <alignment horizontal="center"/>
    </xf>
    <xf borderId="20" fillId="0" fontId="3" numFmtId="0" xfId="0" applyBorder="1" applyFont="1"/>
    <xf borderId="13" fillId="0" fontId="2" numFmtId="0" xfId="0" applyBorder="1" applyFont="1"/>
    <xf borderId="14" fillId="0" fontId="2" numFmtId="0" xfId="0" applyBorder="1" applyFont="1"/>
    <xf borderId="1" fillId="0" fontId="3" numFmtId="0" xfId="0" applyBorder="1" applyFont="1"/>
    <xf borderId="20" fillId="0" fontId="3" numFmtId="0" xfId="0" applyAlignment="1" applyBorder="1" applyFont="1">
      <alignment horizontal="center"/>
    </xf>
    <xf borderId="1" fillId="0" fontId="13" numFmtId="0" xfId="0" applyBorder="1" applyFont="1"/>
    <xf borderId="1" fillId="0" fontId="3" numFmtId="167" xfId="0" applyAlignment="1" applyBorder="1" applyFont="1" applyNumberFormat="1">
      <alignment horizontal="center"/>
    </xf>
    <xf borderId="4" fillId="0" fontId="14" numFmtId="0" xfId="0" applyAlignment="1" applyBorder="1" applyFont="1">
      <alignment vertical="bottom"/>
    </xf>
    <xf borderId="1" fillId="0" fontId="14" numFmtId="167" xfId="0" applyAlignment="1" applyBorder="1" applyFont="1" applyNumberFormat="1">
      <alignment horizontal="center" shrinkToFit="0" wrapText="0"/>
    </xf>
    <xf borderId="1" fillId="0" fontId="14" numFmtId="0" xfId="0" applyAlignment="1" applyBorder="1" applyFont="1">
      <alignment horizontal="left" vertical="bottom"/>
    </xf>
    <xf borderId="1" fillId="0" fontId="14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0" fontId="7" numFmtId="167" xfId="0" applyAlignment="1" applyBorder="1" applyFont="1" applyNumberFormat="1">
      <alignment vertical="bottom"/>
    </xf>
    <xf borderId="0" fillId="0" fontId="3" numFmtId="165" xfId="0" applyFont="1" applyNumberFormat="1"/>
    <xf borderId="0" fillId="0" fontId="3" numFmtId="10" xfId="0" applyFont="1" applyNumberFormat="1"/>
    <xf borderId="0" fillId="0" fontId="15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24" fillId="0" fontId="4" numFmtId="0" xfId="0" applyAlignment="1" applyBorder="1" applyFont="1">
      <alignment horizontal="center"/>
    </xf>
    <xf borderId="25" fillId="0" fontId="2" numFmtId="0" xfId="0" applyBorder="1" applyFont="1"/>
    <xf borderId="26" fillId="0" fontId="2" numFmtId="0" xfId="0" applyBorder="1" applyFont="1"/>
    <xf borderId="27" fillId="0" fontId="4" numFmtId="0" xfId="0" applyBorder="1" applyFont="1"/>
    <xf borderId="28" fillId="0" fontId="4" numFmtId="0" xfId="0" applyBorder="1" applyFont="1"/>
    <xf borderId="4" fillId="0" fontId="3" numFmtId="0" xfId="0" applyAlignment="1" applyBorder="1" applyFont="1">
      <alignment shrinkToFit="0" wrapText="1"/>
    </xf>
    <xf borderId="14" fillId="0" fontId="8" numFmtId="165" xfId="0" applyBorder="1" applyFont="1" applyNumberFormat="1"/>
    <xf borderId="19" fillId="0" fontId="8" numFmtId="10" xfId="0" applyBorder="1" applyFont="1" applyNumberFormat="1"/>
    <xf borderId="19" fillId="0" fontId="8" numFmtId="168" xfId="0" applyBorder="1" applyFont="1" applyNumberFormat="1"/>
    <xf borderId="19" fillId="0" fontId="8" numFmtId="0" xfId="0" applyBorder="1" applyFont="1"/>
    <xf borderId="19" fillId="4" fontId="3" numFmtId="169" xfId="0" applyBorder="1" applyFont="1" applyNumberFormat="1"/>
    <xf borderId="19" fillId="4" fontId="3" numFmtId="3" xfId="0" applyBorder="1" applyFont="1" applyNumberFormat="1"/>
    <xf borderId="4" fillId="0" fontId="8" numFmtId="165" xfId="0" applyBorder="1" applyFont="1" applyNumberFormat="1"/>
    <xf borderId="4" fillId="0" fontId="8" numFmtId="10" xfId="0" applyBorder="1" applyFont="1" applyNumberFormat="1"/>
    <xf borderId="4" fillId="0" fontId="8" numFmtId="168" xfId="0" applyBorder="1" applyFont="1" applyNumberFormat="1"/>
    <xf borderId="4" fillId="0" fontId="8" numFmtId="0" xfId="0" applyBorder="1" applyFont="1"/>
    <xf borderId="4" fillId="4" fontId="3" numFmtId="169" xfId="0" applyBorder="1" applyFont="1" applyNumberFormat="1"/>
    <xf borderId="4" fillId="4" fontId="3" numFmtId="3" xfId="0" applyBorder="1" applyFont="1" applyNumberFormat="1"/>
    <xf borderId="23" fillId="6" fontId="3" numFmtId="165" xfId="0" applyBorder="1" applyFont="1" applyNumberFormat="1"/>
    <xf borderId="19" fillId="0" fontId="3" numFmtId="0" xfId="0" applyAlignment="1" applyBorder="1" applyFont="1">
      <alignment shrinkToFit="0" wrapText="1"/>
    </xf>
    <xf borderId="19" fillId="0" fontId="8" numFmtId="170" xfId="0" applyBorder="1" applyFont="1" applyNumberFormat="1"/>
    <xf borderId="4" fillId="0" fontId="8" numFmtId="170" xfId="0" applyBorder="1" applyFont="1" applyNumberFormat="1"/>
    <xf borderId="4" fillId="0" fontId="3" numFmtId="169" xfId="0" applyBorder="1" applyFont="1" applyNumberFormat="1"/>
    <xf borderId="23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11" fontId="16" numFmtId="0" xfId="0" applyAlignment="1" applyBorder="1" applyFill="1" applyFont="1">
      <alignment shrinkToFit="0" wrapText="1"/>
    </xf>
    <xf borderId="4" fillId="11" fontId="16" numFmtId="0" xfId="0" applyBorder="1" applyFont="1"/>
    <xf borderId="4" fillId="11" fontId="16" numFmtId="0" xfId="0" applyAlignment="1" applyBorder="1" applyFont="1">
      <alignment shrinkToFit="0" wrapText="1"/>
    </xf>
    <xf borderId="4" fillId="11" fontId="16" numFmtId="171" xfId="0" applyBorder="1" applyFont="1" applyNumberFormat="1"/>
    <xf borderId="4" fillId="11" fontId="16" numFmtId="0" xfId="0" applyAlignment="1" applyBorder="1" applyFont="1">
      <alignment horizontal="center"/>
    </xf>
    <xf borderId="4" fillId="11" fontId="16" numFmtId="172" xfId="0" applyBorder="1" applyFont="1" applyNumberFormat="1"/>
    <xf borderId="4" fillId="11" fontId="16" numFmtId="10" xfId="0" applyBorder="1" applyFont="1" applyNumberFormat="1"/>
    <xf borderId="4" fillId="11" fontId="16" numFmtId="165" xfId="0" applyBorder="1" applyFont="1" applyNumberFormat="1"/>
    <xf borderId="0" fillId="0" fontId="3" numFmtId="0" xfId="0" applyAlignment="1" applyFont="1">
      <alignment shrinkToFit="0" wrapText="0"/>
    </xf>
    <xf borderId="4" fillId="0" fontId="7" numFmtId="0" xfId="0" applyAlignment="1" applyBorder="1" applyFont="1">
      <alignment vertical="bottom"/>
    </xf>
    <xf borderId="4" fillId="4" fontId="3" numFmtId="171" xfId="0" applyBorder="1" applyFont="1" applyNumberFormat="1"/>
    <xf borderId="4" fillId="5" fontId="17" numFmtId="165" xfId="0" applyBorder="1" applyFont="1" applyNumberFormat="1"/>
    <xf borderId="32" fillId="0" fontId="3" numFmtId="0" xfId="0" applyBorder="1" applyFont="1"/>
    <xf borderId="33" fillId="0" fontId="3" numFmtId="0" xfId="0" applyBorder="1" applyFont="1"/>
    <xf borderId="34" fillId="6" fontId="4" numFmtId="0" xfId="0" applyBorder="1" applyFont="1"/>
    <xf borderId="35" fillId="6" fontId="4" numFmtId="165" xfId="0" applyBorder="1" applyFont="1" applyNumberFormat="1"/>
    <xf borderId="0" fillId="0" fontId="7" numFmtId="0" xfId="0" applyAlignment="1" applyFont="1">
      <alignment vertical="bottom"/>
    </xf>
    <xf borderId="0" fillId="0" fontId="7" numFmtId="10" xfId="0" applyAlignment="1" applyFont="1" applyNumberFormat="1">
      <alignment horizontal="right" vertical="bottom"/>
    </xf>
    <xf borderId="0" fillId="0" fontId="18" numFmtId="0" xfId="0" applyAlignment="1" applyFont="1">
      <alignment horizontal="left"/>
    </xf>
    <xf borderId="36" fillId="3" fontId="3" numFmtId="0" xfId="0" applyAlignment="1" applyBorder="1" applyFont="1">
      <alignment horizontal="left"/>
    </xf>
    <xf borderId="37" fillId="3" fontId="3" numFmtId="0" xfId="0" applyAlignment="1" applyBorder="1" applyFont="1">
      <alignment horizontal="left"/>
    </xf>
    <xf borderId="38" fillId="3" fontId="3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39" fillId="0" fontId="4" numFmtId="0" xfId="0" applyBorder="1" applyFont="1"/>
    <xf borderId="4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40" fillId="0" fontId="2" numFmtId="0" xfId="0" applyBorder="1" applyFont="1"/>
    <xf borderId="4" fillId="12" fontId="7" numFmtId="2" xfId="0" applyAlignment="1" applyBorder="1" applyFill="1" applyFont="1" applyNumberFormat="1">
      <alignment horizontal="center"/>
    </xf>
    <xf borderId="41" fillId="12" fontId="3" numFmtId="165" xfId="0" applyAlignment="1" applyBorder="1" applyFont="1" applyNumberFormat="1">
      <alignment horizontal="center"/>
    </xf>
    <xf borderId="4" fillId="0" fontId="7" numFmtId="165" xfId="0" applyBorder="1" applyFont="1" applyNumberFormat="1"/>
    <xf borderId="4" fillId="0" fontId="7" numFmtId="2" xfId="0" applyBorder="1" applyFont="1" applyNumberFormat="1"/>
    <xf borderId="41" fillId="0" fontId="3" numFmtId="165" xfId="0" applyBorder="1" applyFont="1" applyNumberFormat="1"/>
    <xf borderId="42" fillId="0" fontId="3" numFmtId="0" xfId="0" applyBorder="1" applyFont="1"/>
    <xf borderId="43" fillId="0" fontId="4" numFmtId="0" xfId="0" applyAlignment="1" applyBorder="1" applyFont="1">
      <alignment horizontal="center"/>
    </xf>
    <xf borderId="44" fillId="0" fontId="2" numFmtId="0" xfId="0" applyBorder="1" applyFont="1"/>
    <xf borderId="39" fillId="0" fontId="3" numFmtId="0" xfId="0" applyBorder="1" applyFont="1"/>
    <xf borderId="45" fillId="0" fontId="3" numFmtId="0" xfId="0" applyBorder="1" applyFont="1"/>
    <xf borderId="46" fillId="0" fontId="3" numFmtId="0" xfId="0" applyBorder="1" applyFont="1"/>
    <xf borderId="35" fillId="0" fontId="6" numFmtId="2" xfId="0" applyBorder="1" applyFont="1" applyNumberFormat="1"/>
    <xf borderId="43" fillId="0" fontId="5" numFmtId="0" xfId="0" applyAlignment="1" applyBorder="1" applyFont="1">
      <alignment horizontal="center"/>
    </xf>
    <xf borderId="47" fillId="0" fontId="4" numFmtId="0" xfId="0" applyAlignment="1" applyBorder="1" applyFont="1">
      <alignment horizontal="center"/>
    </xf>
    <xf borderId="48" fillId="0" fontId="2" numFmtId="0" xfId="0" applyBorder="1" applyFont="1"/>
    <xf borderId="41" fillId="0" fontId="3" numFmtId="165" xfId="0" applyBorder="1" applyFont="1" applyNumberFormat="1"/>
    <xf borderId="39" fillId="0" fontId="7" numFmtId="0" xfId="0" applyBorder="1" applyFont="1"/>
    <xf borderId="45" fillId="0" fontId="6" numFmtId="164" xfId="0" applyBorder="1" applyFont="1" applyNumberFormat="1"/>
    <xf borderId="45" fillId="4" fontId="7" numFmtId="9" xfId="0" applyBorder="1" applyFont="1" applyNumberFormat="1"/>
    <xf borderId="45" fillId="4" fontId="7" numFmtId="10" xfId="0" applyBorder="1" applyFont="1" applyNumberFormat="1"/>
    <xf borderId="47" fillId="13" fontId="5" numFmtId="0" xfId="0" applyAlignment="1" applyBorder="1" applyFill="1" applyFont="1">
      <alignment horizontal="center"/>
    </xf>
    <xf borderId="39" fillId="13" fontId="7" numFmtId="0" xfId="0" applyBorder="1" applyFont="1"/>
    <xf borderId="45" fillId="13" fontId="6" numFmtId="165" xfId="0" applyBorder="1" applyFont="1" applyNumberFormat="1"/>
    <xf borderId="47" fillId="5" fontId="5" numFmtId="0" xfId="0" applyAlignment="1" applyBorder="1" applyFont="1">
      <alignment horizontal="center"/>
    </xf>
    <xf borderId="39" fillId="5" fontId="7" numFmtId="0" xfId="0" applyBorder="1" applyFont="1"/>
    <xf borderId="45" fillId="5" fontId="6" numFmtId="165" xfId="0" applyAlignment="1" applyBorder="1" applyFont="1" applyNumberFormat="1">
      <alignment horizontal="right"/>
    </xf>
    <xf borderId="46" fillId="5" fontId="7" numFmtId="0" xfId="0" applyBorder="1" applyFont="1"/>
    <xf borderId="35" fillId="5" fontId="6" numFmtId="165" xfId="0" applyAlignment="1" applyBorder="1" applyFont="1" applyNumberFormat="1">
      <alignment horizontal="right"/>
    </xf>
    <xf borderId="49" fillId="0" fontId="3" numFmtId="0" xfId="0" applyBorder="1" applyFont="1"/>
    <xf borderId="45" fillId="4" fontId="7" numFmtId="164" xfId="0" applyBorder="1" applyFont="1" applyNumberFormat="1"/>
    <xf borderId="24" fillId="5" fontId="19" numFmtId="0" xfId="0" applyBorder="1" applyFont="1"/>
    <xf borderId="28" fillId="5" fontId="19" numFmtId="0" xfId="0" applyBorder="1" applyFont="1"/>
    <xf borderId="28" fillId="5" fontId="19" numFmtId="2" xfId="0" applyBorder="1" applyFont="1" applyNumberFormat="1"/>
    <xf borderId="28" fillId="5" fontId="19" numFmtId="165" xfId="0" applyBorder="1" applyFont="1" applyNumberFormat="1"/>
    <xf borderId="41" fillId="6" fontId="9" numFmtId="165" xfId="0" applyBorder="1" applyFont="1" applyNumberFormat="1"/>
    <xf borderId="41" fillId="6" fontId="3" numFmtId="0" xfId="0" applyBorder="1" applyFont="1"/>
    <xf borderId="41" fillId="6" fontId="10" numFmtId="10" xfId="0" applyBorder="1" applyFont="1" applyNumberFormat="1"/>
    <xf borderId="41" fillId="6" fontId="9" numFmtId="10" xfId="0" applyBorder="1" applyFont="1" applyNumberFormat="1"/>
    <xf borderId="35" fillId="5" fontId="6" numFmtId="165" xfId="0" applyBorder="1" applyFont="1" applyNumberFormat="1"/>
    <xf borderId="41" fillId="6" fontId="9" numFmtId="0" xfId="0" applyBorder="1" applyFont="1"/>
    <xf borderId="42" fillId="0" fontId="4" numFmtId="0" xfId="0" applyAlignment="1" applyBorder="1" applyFont="1">
      <alignment horizontal="center"/>
    </xf>
    <xf borderId="39" fillId="5" fontId="3" numFmtId="0" xfId="0" applyBorder="1" applyFont="1"/>
    <xf borderId="45" fillId="4" fontId="3" numFmtId="165" xfId="0" applyBorder="1" applyFont="1" applyNumberFormat="1"/>
    <xf borderId="46" fillId="5" fontId="17" numFmtId="0" xfId="0" applyBorder="1" applyFont="1"/>
    <xf borderId="35" fillId="4" fontId="3" numFmtId="165" xfId="0" applyBorder="1" applyFont="1" applyNumberFormat="1"/>
    <xf borderId="46" fillId="5" fontId="3" numFmtId="0" xfId="0" applyBorder="1" applyFont="1"/>
    <xf borderId="50" fillId="5" fontId="3" numFmtId="0" xfId="0" applyBorder="1" applyFont="1"/>
    <xf borderId="51" fillId="4" fontId="3" numFmtId="165" xfId="0" applyBorder="1" applyFont="1" applyNumberFormat="1"/>
    <xf borderId="52" fillId="0" fontId="3" numFmtId="0" xfId="0" applyBorder="1" applyFont="1"/>
    <xf borderId="53" fillId="0" fontId="3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ezionatura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T17" displayName="Table_1" name="Table_1" id="1">
  <tableColumns count="1">
    <tableColumn name="Column1" id="1"/>
  </tableColumns>
  <tableStyleInfo name="Sezionatur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13.56"/>
    <col customWidth="1" min="3" max="3" width="10.33"/>
    <col customWidth="1" min="4" max="4" width="8.44"/>
    <col customWidth="1" min="5" max="5" width="8.33"/>
    <col customWidth="1" min="6" max="6" width="6.11"/>
    <col customWidth="1" min="7" max="7" width="5.0"/>
    <col customWidth="1" min="8" max="8" width="7.22"/>
    <col customWidth="1" min="9" max="11" width="8.11"/>
    <col customWidth="1" min="12" max="12" width="8.33"/>
    <col customWidth="1" min="13" max="13" width="4.56"/>
    <col customWidth="1" min="14" max="16" width="8.33"/>
    <col customWidth="1" min="17" max="17" width="11.44"/>
    <col customWidth="1" min="18" max="18" width="8.33"/>
  </cols>
  <sheetData>
    <row r="1" ht="15.75" customHeight="1"/>
    <row r="2" ht="17.25" customHeight="1">
      <c r="B2" s="1" t="s">
        <v>0</v>
      </c>
      <c r="C2" s="2"/>
      <c r="D2" s="3"/>
    </row>
    <row r="3" ht="15.75" customHeight="1"/>
    <row r="4" ht="15.75" customHeight="1">
      <c r="B4" s="4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</row>
    <row r="5" ht="15.75" customHeight="1">
      <c r="B5" s="5" t="s">
        <v>2</v>
      </c>
      <c r="C5" s="6" t="s">
        <v>3</v>
      </c>
      <c r="D5" s="3"/>
      <c r="E5" s="7"/>
      <c r="F5" s="8" t="s">
        <v>4</v>
      </c>
      <c r="G5" s="2"/>
      <c r="H5" s="3"/>
      <c r="I5" s="9"/>
      <c r="J5" s="10" t="s">
        <v>5</v>
      </c>
      <c r="K5" s="10" t="s">
        <v>6</v>
      </c>
      <c r="L5" s="11"/>
      <c r="M5" s="7"/>
      <c r="N5" s="7"/>
      <c r="O5" s="7"/>
      <c r="P5" s="7"/>
      <c r="Q5" s="7"/>
      <c r="R5" s="12"/>
    </row>
    <row r="6" ht="15.75" customHeight="1">
      <c r="B6" s="5" t="s">
        <v>7</v>
      </c>
      <c r="C6" s="6" t="s">
        <v>8</v>
      </c>
      <c r="D6" s="3"/>
      <c r="F6" s="13" t="s">
        <v>9</v>
      </c>
      <c r="G6" s="13" t="s">
        <v>10</v>
      </c>
      <c r="H6" s="13" t="s">
        <v>11</v>
      </c>
      <c r="I6" s="9"/>
      <c r="J6" s="13"/>
      <c r="K6" s="13"/>
      <c r="L6" s="14"/>
      <c r="R6" s="15"/>
    </row>
    <row r="7" ht="15.75" customHeight="1">
      <c r="B7" s="5" t="s">
        <v>12</v>
      </c>
      <c r="C7" s="6" t="s">
        <v>13</v>
      </c>
      <c r="D7" s="3"/>
      <c r="F7" s="16"/>
      <c r="G7" s="16"/>
      <c r="H7" s="16"/>
      <c r="I7" s="9"/>
      <c r="J7" s="17">
        <f t="shared" ref="J7:J26" si="1">((F7+F7+G7+G7)*H7)/1000</f>
        <v>0</v>
      </c>
      <c r="K7" s="17">
        <f t="shared" ref="K7:K26" si="2">(F7*G7*H7)/1000000</f>
        <v>0</v>
      </c>
      <c r="L7" s="18"/>
      <c r="M7" s="19" t="s">
        <v>14</v>
      </c>
      <c r="N7" s="2"/>
      <c r="O7" s="2"/>
      <c r="P7" s="3"/>
      <c r="Q7" s="20">
        <f>SUM(J7:J26)</f>
        <v>0</v>
      </c>
      <c r="R7" s="15" t="s">
        <v>5</v>
      </c>
    </row>
    <row r="8" ht="15.75" customHeight="1">
      <c r="B8" s="21"/>
      <c r="F8" s="16"/>
      <c r="G8" s="16"/>
      <c r="H8" s="16"/>
      <c r="I8" s="9"/>
      <c r="J8" s="17">
        <f t="shared" si="1"/>
        <v>0</v>
      </c>
      <c r="K8" s="17">
        <f t="shared" si="2"/>
        <v>0</v>
      </c>
      <c r="L8" s="18"/>
      <c r="M8" s="19" t="s">
        <v>15</v>
      </c>
      <c r="N8" s="2"/>
      <c r="O8" s="2"/>
      <c r="P8" s="3"/>
      <c r="Q8" s="22">
        <f>_xlfn.CEILING.MATH(Q7,50,1)</f>
        <v>0</v>
      </c>
      <c r="R8" s="15"/>
    </row>
    <row r="9" ht="15.75" customHeight="1">
      <c r="B9" s="23" t="s">
        <v>16</v>
      </c>
      <c r="C9" s="3"/>
      <c r="F9" s="16"/>
      <c r="G9" s="16"/>
      <c r="H9" s="16"/>
      <c r="I9" s="9"/>
      <c r="J9" s="17">
        <f t="shared" si="1"/>
        <v>0</v>
      </c>
      <c r="K9" s="17">
        <f t="shared" si="2"/>
        <v>0</v>
      </c>
      <c r="L9" s="18"/>
      <c r="M9" s="19" t="s">
        <v>17</v>
      </c>
      <c r="N9" s="2"/>
      <c r="O9" s="2"/>
      <c r="P9" s="3"/>
      <c r="Q9" s="24">
        <f>Q8*C30</f>
        <v>0</v>
      </c>
      <c r="R9" s="15"/>
    </row>
    <row r="10" ht="15.75" customHeight="1">
      <c r="B10" s="25"/>
      <c r="C10" s="25"/>
      <c r="F10" s="16"/>
      <c r="G10" s="16"/>
      <c r="H10" s="16"/>
      <c r="I10" s="9"/>
      <c r="J10" s="17">
        <f t="shared" si="1"/>
        <v>0</v>
      </c>
      <c r="K10" s="17">
        <f t="shared" si="2"/>
        <v>0</v>
      </c>
      <c r="L10" s="18"/>
      <c r="R10" s="15"/>
    </row>
    <row r="11" ht="15.75" customHeight="1">
      <c r="B11" s="25" t="s">
        <v>18</v>
      </c>
      <c r="C11" s="26">
        <v>2800.0</v>
      </c>
      <c r="D11" s="18"/>
      <c r="F11" s="27"/>
      <c r="G11" s="27"/>
      <c r="H11" s="27"/>
      <c r="I11" s="9"/>
      <c r="J11" s="17">
        <f t="shared" si="1"/>
        <v>0</v>
      </c>
      <c r="K11" s="17">
        <f t="shared" si="2"/>
        <v>0</v>
      </c>
      <c r="L11" s="18"/>
      <c r="M11" s="19" t="s">
        <v>19</v>
      </c>
      <c r="N11" s="2"/>
      <c r="O11" s="2"/>
      <c r="P11" s="3"/>
      <c r="Q11" s="20">
        <f>SUM(K7:K26)</f>
        <v>0</v>
      </c>
      <c r="R11" s="15" t="s">
        <v>6</v>
      </c>
    </row>
    <row r="12" ht="15.75" customHeight="1">
      <c r="B12" s="25" t="s">
        <v>20</v>
      </c>
      <c r="C12" s="26">
        <v>2070.0</v>
      </c>
      <c r="D12" s="18"/>
      <c r="F12" s="27"/>
      <c r="G12" s="27"/>
      <c r="H12" s="27"/>
      <c r="I12" s="9"/>
      <c r="J12" s="17">
        <f t="shared" si="1"/>
        <v>0</v>
      </c>
      <c r="K12" s="17">
        <f t="shared" si="2"/>
        <v>0</v>
      </c>
      <c r="L12" s="18"/>
      <c r="M12" s="19" t="s">
        <v>21</v>
      </c>
      <c r="N12" s="2"/>
      <c r="O12" s="2"/>
      <c r="P12" s="3"/>
      <c r="Q12" s="20">
        <f>Q11*(1+C20)</f>
        <v>0</v>
      </c>
      <c r="R12" s="15" t="s">
        <v>6</v>
      </c>
    </row>
    <row r="13" ht="15.75" customHeight="1">
      <c r="B13" s="25" t="s">
        <v>22</v>
      </c>
      <c r="C13" s="26">
        <v>19.0</v>
      </c>
      <c r="D13" s="18"/>
      <c r="F13" s="27"/>
      <c r="G13" s="27"/>
      <c r="H13" s="27"/>
      <c r="I13" s="9"/>
      <c r="J13" s="17">
        <f t="shared" si="1"/>
        <v>0</v>
      </c>
      <c r="K13" s="17">
        <f t="shared" si="2"/>
        <v>0</v>
      </c>
      <c r="L13" s="18"/>
      <c r="R13" s="15"/>
    </row>
    <row r="14" ht="15.75" customHeight="1">
      <c r="B14" s="25" t="s">
        <v>23</v>
      </c>
      <c r="C14" s="17">
        <f>(C11*C12)/1000000</f>
        <v>5.796</v>
      </c>
      <c r="D14" s="28"/>
      <c r="F14" s="27"/>
      <c r="G14" s="27"/>
      <c r="H14" s="27"/>
      <c r="I14" s="13"/>
      <c r="J14" s="17">
        <f t="shared" si="1"/>
        <v>0</v>
      </c>
      <c r="K14" s="17">
        <f t="shared" si="2"/>
        <v>0</v>
      </c>
      <c r="L14" s="18"/>
      <c r="M14" s="19" t="s">
        <v>24</v>
      </c>
      <c r="N14" s="2"/>
      <c r="O14" s="2"/>
      <c r="P14" s="3"/>
      <c r="Q14" s="22">
        <f>_xlfn.CEILING.MATH(Q12/C14,1,1)</f>
        <v>0</v>
      </c>
      <c r="R14" s="15"/>
    </row>
    <row r="15" ht="15.75" customHeight="1">
      <c r="B15" s="21"/>
      <c r="F15" s="27"/>
      <c r="G15" s="27"/>
      <c r="H15" s="27"/>
      <c r="I15" s="13"/>
      <c r="J15" s="17">
        <f t="shared" si="1"/>
        <v>0</v>
      </c>
      <c r="K15" s="17">
        <f t="shared" si="2"/>
        <v>0</v>
      </c>
      <c r="L15" s="18"/>
      <c r="M15" s="19" t="s">
        <v>25</v>
      </c>
      <c r="N15" s="2"/>
      <c r="O15" s="2"/>
      <c r="P15" s="3"/>
      <c r="Q15" s="24">
        <f>Q14*C29</f>
        <v>0</v>
      </c>
      <c r="R15" s="15"/>
    </row>
    <row r="16" ht="15.75" customHeight="1">
      <c r="B16" s="23" t="s">
        <v>26</v>
      </c>
      <c r="C16" s="3"/>
      <c r="F16" s="27"/>
      <c r="G16" s="27"/>
      <c r="H16" s="27"/>
      <c r="I16" s="13"/>
      <c r="J16" s="17">
        <f t="shared" si="1"/>
        <v>0</v>
      </c>
      <c r="K16" s="17">
        <f t="shared" si="2"/>
        <v>0</v>
      </c>
      <c r="L16" s="18"/>
      <c r="R16" s="15"/>
    </row>
    <row r="17" ht="15.75" customHeight="1">
      <c r="B17" s="25" t="s">
        <v>6</v>
      </c>
      <c r="C17" s="29">
        <v>28.0</v>
      </c>
      <c r="D17" s="30"/>
      <c r="F17" s="16"/>
      <c r="G17" s="16"/>
      <c r="H17" s="16"/>
      <c r="I17" s="9"/>
      <c r="J17" s="17">
        <f t="shared" si="1"/>
        <v>0</v>
      </c>
      <c r="K17" s="17">
        <f t="shared" si="2"/>
        <v>0</v>
      </c>
      <c r="R17" s="15"/>
    </row>
    <row r="18" ht="15.75" customHeight="1">
      <c r="B18" s="25" t="s">
        <v>27</v>
      </c>
      <c r="C18" s="31">
        <f>C17*C14</f>
        <v>162.288</v>
      </c>
      <c r="F18" s="16"/>
      <c r="G18" s="16"/>
      <c r="H18" s="16"/>
      <c r="I18" s="9"/>
      <c r="J18" s="17">
        <f t="shared" si="1"/>
        <v>0</v>
      </c>
      <c r="K18" s="17">
        <f t="shared" si="2"/>
        <v>0</v>
      </c>
      <c r="P18" s="32" t="s">
        <v>28</v>
      </c>
      <c r="Q18" s="33"/>
      <c r="R18" s="15"/>
    </row>
    <row r="19" ht="15.75" customHeight="1">
      <c r="B19" s="25" t="s">
        <v>29</v>
      </c>
      <c r="C19" s="34">
        <v>0.45</v>
      </c>
      <c r="F19" s="16"/>
      <c r="G19" s="16"/>
      <c r="H19" s="16"/>
      <c r="I19" s="9"/>
      <c r="J19" s="17">
        <f t="shared" si="1"/>
        <v>0</v>
      </c>
      <c r="K19" s="17">
        <f t="shared" si="2"/>
        <v>0</v>
      </c>
      <c r="P19" s="35">
        <f>Q15+Q9</f>
        <v>0</v>
      </c>
      <c r="Q19" s="36"/>
      <c r="R19" s="15"/>
    </row>
    <row r="20" ht="15.75" customHeight="1">
      <c r="B20" s="25" t="s">
        <v>30</v>
      </c>
      <c r="C20" s="34">
        <v>0.3</v>
      </c>
      <c r="F20" s="16"/>
      <c r="G20" s="16"/>
      <c r="H20" s="16"/>
      <c r="I20" s="9"/>
      <c r="J20" s="17">
        <f t="shared" si="1"/>
        <v>0</v>
      </c>
      <c r="K20" s="17">
        <f t="shared" si="2"/>
        <v>0</v>
      </c>
      <c r="R20" s="15"/>
    </row>
    <row r="21" ht="15.75" customHeight="1">
      <c r="B21" s="23" t="s">
        <v>31</v>
      </c>
      <c r="C21" s="3"/>
      <c r="F21" s="27"/>
      <c r="G21" s="27"/>
      <c r="H21" s="27"/>
      <c r="I21" s="9"/>
      <c r="J21" s="17">
        <f t="shared" si="1"/>
        <v>0</v>
      </c>
      <c r="K21" s="17">
        <f t="shared" si="2"/>
        <v>0</v>
      </c>
      <c r="R21" s="15"/>
    </row>
    <row r="22" ht="15.75" customHeight="1">
      <c r="B22" s="25" t="s">
        <v>32</v>
      </c>
      <c r="C22" s="37">
        <v>30.0</v>
      </c>
      <c r="F22" s="27"/>
      <c r="G22" s="27"/>
      <c r="H22" s="27"/>
      <c r="I22" s="9"/>
      <c r="J22" s="17">
        <f t="shared" si="1"/>
        <v>0</v>
      </c>
      <c r="K22" s="17">
        <f t="shared" si="2"/>
        <v>0</v>
      </c>
      <c r="R22" s="15"/>
    </row>
    <row r="23" ht="15.75" customHeight="1">
      <c r="B23" s="25" t="s">
        <v>29</v>
      </c>
      <c r="C23" s="34">
        <v>0.4</v>
      </c>
      <c r="F23" s="27"/>
      <c r="G23" s="27"/>
      <c r="H23" s="27"/>
      <c r="I23" s="9"/>
      <c r="J23" s="17">
        <f t="shared" si="1"/>
        <v>0</v>
      </c>
      <c r="K23" s="17">
        <f t="shared" si="2"/>
        <v>0</v>
      </c>
      <c r="R23" s="15"/>
    </row>
    <row r="24" ht="15.75" customHeight="1">
      <c r="B24" s="25" t="s">
        <v>30</v>
      </c>
      <c r="C24" s="34">
        <v>0.1</v>
      </c>
      <c r="F24" s="27"/>
      <c r="G24" s="27"/>
      <c r="H24" s="27"/>
      <c r="I24" s="13"/>
      <c r="J24" s="17">
        <f t="shared" si="1"/>
        <v>0</v>
      </c>
      <c r="K24" s="17">
        <f t="shared" si="2"/>
        <v>0</v>
      </c>
      <c r="R24" s="15"/>
    </row>
    <row r="25" ht="15.75" customHeight="1">
      <c r="B25" s="21"/>
      <c r="F25" s="27"/>
      <c r="G25" s="27"/>
      <c r="H25" s="27"/>
      <c r="I25" s="13"/>
      <c r="J25" s="17">
        <f t="shared" si="1"/>
        <v>0</v>
      </c>
      <c r="K25" s="17">
        <f t="shared" si="2"/>
        <v>0</v>
      </c>
      <c r="R25" s="15"/>
    </row>
    <row r="26" ht="15.75" customHeight="1">
      <c r="B26" s="23" t="s">
        <v>33</v>
      </c>
      <c r="C26" s="3"/>
      <c r="F26" s="27"/>
      <c r="G26" s="27"/>
      <c r="H26" s="27"/>
      <c r="I26" s="13"/>
      <c r="J26" s="17">
        <f t="shared" si="1"/>
        <v>0</v>
      </c>
      <c r="K26" s="17">
        <f t="shared" si="2"/>
        <v>0</v>
      </c>
      <c r="R26" s="15"/>
    </row>
    <row r="27" ht="15.75" customHeight="1">
      <c r="B27" s="25"/>
      <c r="C27" s="25"/>
      <c r="R27" s="15"/>
    </row>
    <row r="28" ht="15.75" customHeight="1">
      <c r="B28" s="25" t="s">
        <v>6</v>
      </c>
      <c r="C28" s="31">
        <f>C17*(1-C19)</f>
        <v>15.4</v>
      </c>
      <c r="R28" s="15"/>
    </row>
    <row r="29" ht="15.75" customHeight="1">
      <c r="B29" s="25" t="s">
        <v>27</v>
      </c>
      <c r="C29" s="31">
        <f>C14*C28</f>
        <v>89.2584</v>
      </c>
      <c r="R29" s="15"/>
    </row>
    <row r="30" ht="15.75" customHeight="1">
      <c r="B30" s="25" t="s">
        <v>34</v>
      </c>
      <c r="C30" s="31">
        <f>((((C13/1000)+0.005)*C22)*(1-C23))*(1+C24)</f>
        <v>0.4752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9"/>
    </row>
    <row r="31" ht="15.75" customHeight="1"/>
    <row r="32" ht="15.75" customHeight="1">
      <c r="B32" s="4" t="s">
        <v>35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</row>
    <row r="33" ht="15.75" customHeight="1">
      <c r="B33" s="5" t="s">
        <v>2</v>
      </c>
      <c r="C33" s="6" t="s">
        <v>3</v>
      </c>
      <c r="D33" s="3"/>
      <c r="E33" s="7"/>
      <c r="F33" s="8" t="s">
        <v>4</v>
      </c>
      <c r="G33" s="2"/>
      <c r="H33" s="3"/>
      <c r="I33" s="9"/>
      <c r="J33" s="10" t="s">
        <v>5</v>
      </c>
      <c r="K33" s="10" t="s">
        <v>6</v>
      </c>
      <c r="L33" s="11"/>
      <c r="M33" s="7"/>
      <c r="N33" s="7"/>
      <c r="O33" s="7"/>
      <c r="P33" s="7"/>
      <c r="Q33" s="7"/>
      <c r="R33" s="12"/>
    </row>
    <row r="34" ht="15.75" customHeight="1">
      <c r="B34" s="5" t="s">
        <v>7</v>
      </c>
      <c r="C34" s="6" t="s">
        <v>8</v>
      </c>
      <c r="D34" s="3"/>
      <c r="F34" s="13" t="s">
        <v>9</v>
      </c>
      <c r="G34" s="13" t="s">
        <v>10</v>
      </c>
      <c r="H34" s="13" t="s">
        <v>11</v>
      </c>
      <c r="I34" s="9"/>
      <c r="J34" s="13"/>
      <c r="K34" s="13"/>
      <c r="L34" s="14"/>
      <c r="R34" s="15"/>
    </row>
    <row r="35" ht="15.75" customHeight="1">
      <c r="B35" s="5" t="s">
        <v>12</v>
      </c>
      <c r="C35" s="6" t="s">
        <v>36</v>
      </c>
      <c r="D35" s="3"/>
      <c r="F35" s="16"/>
      <c r="G35" s="16"/>
      <c r="H35" s="16"/>
      <c r="I35" s="9"/>
      <c r="J35" s="17">
        <f t="shared" ref="J35:J54" si="3">((F35+F35+G35+G35)*H35)/1000</f>
        <v>0</v>
      </c>
      <c r="K35" s="17">
        <f t="shared" ref="K35:K54" si="4">(F35*G35*H35)/1000000</f>
        <v>0</v>
      </c>
      <c r="L35" s="18"/>
      <c r="M35" s="19" t="s">
        <v>14</v>
      </c>
      <c r="N35" s="2"/>
      <c r="O35" s="2"/>
      <c r="P35" s="3"/>
      <c r="Q35" s="20">
        <f>SUM(J35:J54)</f>
        <v>0</v>
      </c>
      <c r="R35" s="15" t="s">
        <v>5</v>
      </c>
    </row>
    <row r="36" ht="15.75" customHeight="1">
      <c r="B36" s="21"/>
      <c r="F36" s="16"/>
      <c r="G36" s="16"/>
      <c r="H36" s="16"/>
      <c r="I36" s="9"/>
      <c r="J36" s="17">
        <f t="shared" si="3"/>
        <v>0</v>
      </c>
      <c r="K36" s="17">
        <f t="shared" si="4"/>
        <v>0</v>
      </c>
      <c r="L36" s="18"/>
      <c r="M36" s="19" t="s">
        <v>15</v>
      </c>
      <c r="N36" s="2"/>
      <c r="O36" s="2"/>
      <c r="P36" s="3"/>
      <c r="Q36" s="22">
        <f>_xlfn.CEILING.MATH(Q35,50,1)</f>
        <v>0</v>
      </c>
      <c r="R36" s="15"/>
    </row>
    <row r="37" ht="15.75" customHeight="1">
      <c r="B37" s="23" t="s">
        <v>16</v>
      </c>
      <c r="C37" s="3"/>
      <c r="F37" s="16"/>
      <c r="G37" s="16"/>
      <c r="H37" s="16"/>
      <c r="I37" s="9"/>
      <c r="J37" s="17">
        <f t="shared" si="3"/>
        <v>0</v>
      </c>
      <c r="K37" s="17">
        <f t="shared" si="4"/>
        <v>0</v>
      </c>
      <c r="L37" s="18"/>
      <c r="M37" s="19" t="s">
        <v>17</v>
      </c>
      <c r="N37" s="2"/>
      <c r="O37" s="2"/>
      <c r="P37" s="3"/>
      <c r="Q37" s="24">
        <f>Q36*C58</f>
        <v>0</v>
      </c>
      <c r="R37" s="15"/>
    </row>
    <row r="38" ht="15.75" customHeight="1">
      <c r="B38" s="25"/>
      <c r="C38" s="25"/>
      <c r="F38" s="16"/>
      <c r="G38" s="16"/>
      <c r="H38" s="16"/>
      <c r="I38" s="9"/>
      <c r="J38" s="17">
        <f t="shared" si="3"/>
        <v>0</v>
      </c>
      <c r="K38" s="17">
        <f t="shared" si="4"/>
        <v>0</v>
      </c>
      <c r="L38" s="18"/>
      <c r="R38" s="15"/>
    </row>
    <row r="39" ht="15.75" customHeight="1">
      <c r="B39" s="25" t="s">
        <v>18</v>
      </c>
      <c r="C39" s="26">
        <v>2800.0</v>
      </c>
      <c r="D39" s="18"/>
      <c r="F39" s="27"/>
      <c r="G39" s="27"/>
      <c r="H39" s="27"/>
      <c r="I39" s="9"/>
      <c r="J39" s="17">
        <f t="shared" si="3"/>
        <v>0</v>
      </c>
      <c r="K39" s="17">
        <f t="shared" si="4"/>
        <v>0</v>
      </c>
      <c r="L39" s="18"/>
      <c r="M39" s="19" t="s">
        <v>19</v>
      </c>
      <c r="N39" s="2"/>
      <c r="O39" s="2"/>
      <c r="P39" s="3"/>
      <c r="Q39" s="20">
        <f>SUM(K35:K54)</f>
        <v>0</v>
      </c>
      <c r="R39" s="15" t="s">
        <v>6</v>
      </c>
    </row>
    <row r="40" ht="15.75" customHeight="1">
      <c r="B40" s="25" t="s">
        <v>20</v>
      </c>
      <c r="C40" s="26">
        <v>2070.0</v>
      </c>
      <c r="D40" s="18"/>
      <c r="F40" s="27"/>
      <c r="G40" s="27"/>
      <c r="H40" s="27"/>
      <c r="I40" s="9"/>
      <c r="J40" s="17">
        <f t="shared" si="3"/>
        <v>0</v>
      </c>
      <c r="K40" s="17">
        <f t="shared" si="4"/>
        <v>0</v>
      </c>
      <c r="L40" s="18"/>
      <c r="M40" s="19" t="s">
        <v>21</v>
      </c>
      <c r="N40" s="2"/>
      <c r="O40" s="2"/>
      <c r="P40" s="3"/>
      <c r="Q40" s="20">
        <f>Q39*(1+C48)</f>
        <v>0</v>
      </c>
      <c r="R40" s="15" t="s">
        <v>6</v>
      </c>
    </row>
    <row r="41" ht="15.75" customHeight="1">
      <c r="B41" s="25" t="s">
        <v>22</v>
      </c>
      <c r="C41" s="26">
        <v>25.0</v>
      </c>
      <c r="D41" s="18"/>
      <c r="F41" s="27"/>
      <c r="G41" s="27"/>
      <c r="H41" s="27"/>
      <c r="I41" s="9"/>
      <c r="J41" s="17">
        <f t="shared" si="3"/>
        <v>0</v>
      </c>
      <c r="K41" s="17">
        <f t="shared" si="4"/>
        <v>0</v>
      </c>
      <c r="L41" s="18"/>
      <c r="R41" s="15"/>
    </row>
    <row r="42" ht="15.75" customHeight="1">
      <c r="B42" s="25" t="s">
        <v>23</v>
      </c>
      <c r="C42" s="17">
        <f>(C39*C40)/1000000</f>
        <v>5.796</v>
      </c>
      <c r="D42" s="28"/>
      <c r="F42" s="27"/>
      <c r="G42" s="27"/>
      <c r="H42" s="27"/>
      <c r="I42" s="13"/>
      <c r="J42" s="17">
        <f t="shared" si="3"/>
        <v>0</v>
      </c>
      <c r="K42" s="17">
        <f t="shared" si="4"/>
        <v>0</v>
      </c>
      <c r="L42" s="18"/>
      <c r="M42" s="19" t="s">
        <v>24</v>
      </c>
      <c r="N42" s="2"/>
      <c r="O42" s="2"/>
      <c r="P42" s="3"/>
      <c r="Q42" s="22">
        <f>_xlfn.CEILING.MATH(Q40/C42,1,1)</f>
        <v>0</v>
      </c>
      <c r="R42" s="15"/>
    </row>
    <row r="43" ht="15.75" customHeight="1">
      <c r="B43" s="21"/>
      <c r="F43" s="27"/>
      <c r="G43" s="27"/>
      <c r="H43" s="27"/>
      <c r="I43" s="13"/>
      <c r="J43" s="17">
        <f t="shared" si="3"/>
        <v>0</v>
      </c>
      <c r="K43" s="17">
        <f t="shared" si="4"/>
        <v>0</v>
      </c>
      <c r="L43" s="18"/>
      <c r="M43" s="19" t="s">
        <v>25</v>
      </c>
      <c r="N43" s="2"/>
      <c r="O43" s="2"/>
      <c r="P43" s="3"/>
      <c r="Q43" s="24">
        <f>Q42*C57</f>
        <v>0</v>
      </c>
      <c r="R43" s="15"/>
    </row>
    <row r="44" ht="15.75" customHeight="1">
      <c r="B44" s="23" t="s">
        <v>26</v>
      </c>
      <c r="C44" s="3"/>
      <c r="F44" s="27"/>
      <c r="G44" s="27"/>
      <c r="H44" s="27"/>
      <c r="I44" s="13"/>
      <c r="J44" s="17">
        <f t="shared" si="3"/>
        <v>0</v>
      </c>
      <c r="K44" s="17">
        <f t="shared" si="4"/>
        <v>0</v>
      </c>
      <c r="L44" s="18"/>
      <c r="R44" s="15"/>
    </row>
    <row r="45" ht="15.75" customHeight="1">
      <c r="B45" s="25" t="s">
        <v>6</v>
      </c>
      <c r="C45" s="29">
        <v>33.4</v>
      </c>
      <c r="D45" s="30"/>
      <c r="F45" s="16"/>
      <c r="G45" s="16"/>
      <c r="H45" s="16"/>
      <c r="I45" s="9"/>
      <c r="J45" s="17">
        <f t="shared" si="3"/>
        <v>0</v>
      </c>
      <c r="K45" s="17">
        <f t="shared" si="4"/>
        <v>0</v>
      </c>
      <c r="R45" s="15"/>
    </row>
    <row r="46" ht="15.75" customHeight="1">
      <c r="B46" s="25" t="s">
        <v>27</v>
      </c>
      <c r="C46" s="31">
        <f>C45*C42</f>
        <v>193.5864</v>
      </c>
      <c r="F46" s="16"/>
      <c r="G46" s="16"/>
      <c r="H46" s="16"/>
      <c r="I46" s="9"/>
      <c r="J46" s="17">
        <f t="shared" si="3"/>
        <v>0</v>
      </c>
      <c r="K46" s="17">
        <f t="shared" si="4"/>
        <v>0</v>
      </c>
      <c r="P46" s="32" t="s">
        <v>28</v>
      </c>
      <c r="Q46" s="33"/>
      <c r="R46" s="15"/>
    </row>
    <row r="47" ht="15.75" customHeight="1">
      <c r="B47" s="25" t="s">
        <v>29</v>
      </c>
      <c r="C47" s="34">
        <v>0.45</v>
      </c>
      <c r="F47" s="16"/>
      <c r="G47" s="16"/>
      <c r="H47" s="16"/>
      <c r="I47" s="9"/>
      <c r="J47" s="17">
        <f t="shared" si="3"/>
        <v>0</v>
      </c>
      <c r="K47" s="17">
        <f t="shared" si="4"/>
        <v>0</v>
      </c>
      <c r="P47" s="35">
        <f>Q43+Q37</f>
        <v>0</v>
      </c>
      <c r="Q47" s="36"/>
      <c r="R47" s="15"/>
    </row>
    <row r="48" ht="15.75" customHeight="1">
      <c r="B48" s="25" t="s">
        <v>30</v>
      </c>
      <c r="C48" s="34">
        <v>0.3</v>
      </c>
      <c r="F48" s="16"/>
      <c r="G48" s="16"/>
      <c r="H48" s="16"/>
      <c r="I48" s="9"/>
      <c r="J48" s="17">
        <f t="shared" si="3"/>
        <v>0</v>
      </c>
      <c r="K48" s="17">
        <f t="shared" si="4"/>
        <v>0</v>
      </c>
      <c r="R48" s="15"/>
    </row>
    <row r="49" ht="15.75" customHeight="1">
      <c r="B49" s="23" t="s">
        <v>31</v>
      </c>
      <c r="C49" s="3"/>
      <c r="F49" s="27"/>
      <c r="G49" s="27"/>
      <c r="H49" s="27"/>
      <c r="I49" s="9"/>
      <c r="J49" s="17">
        <f t="shared" si="3"/>
        <v>0</v>
      </c>
      <c r="K49" s="17">
        <f t="shared" si="4"/>
        <v>0</v>
      </c>
      <c r="R49" s="15"/>
    </row>
    <row r="50" ht="15.75" customHeight="1">
      <c r="B50" s="25" t="s">
        <v>32</v>
      </c>
      <c r="C50" s="37">
        <v>30.0</v>
      </c>
      <c r="F50" s="27"/>
      <c r="G50" s="27"/>
      <c r="H50" s="27"/>
      <c r="I50" s="9"/>
      <c r="J50" s="17">
        <f t="shared" si="3"/>
        <v>0</v>
      </c>
      <c r="K50" s="17">
        <f t="shared" si="4"/>
        <v>0</v>
      </c>
      <c r="R50" s="15"/>
    </row>
    <row r="51" ht="15.75" customHeight="1">
      <c r="B51" s="25" t="s">
        <v>29</v>
      </c>
      <c r="C51" s="34">
        <v>0.4</v>
      </c>
      <c r="F51" s="27"/>
      <c r="G51" s="27"/>
      <c r="H51" s="27"/>
      <c r="I51" s="9"/>
      <c r="J51" s="17">
        <f t="shared" si="3"/>
        <v>0</v>
      </c>
      <c r="K51" s="17">
        <f t="shared" si="4"/>
        <v>0</v>
      </c>
      <c r="R51" s="15"/>
    </row>
    <row r="52" ht="15.75" customHeight="1">
      <c r="B52" s="25" t="s">
        <v>30</v>
      </c>
      <c r="C52" s="34">
        <v>0.1</v>
      </c>
      <c r="F52" s="27"/>
      <c r="G52" s="27"/>
      <c r="H52" s="27"/>
      <c r="I52" s="13"/>
      <c r="J52" s="17">
        <f t="shared" si="3"/>
        <v>0</v>
      </c>
      <c r="K52" s="17">
        <f t="shared" si="4"/>
        <v>0</v>
      </c>
      <c r="R52" s="15"/>
    </row>
    <row r="53" ht="15.75" customHeight="1">
      <c r="B53" s="21"/>
      <c r="F53" s="27"/>
      <c r="G53" s="27"/>
      <c r="H53" s="27"/>
      <c r="I53" s="13"/>
      <c r="J53" s="17">
        <f t="shared" si="3"/>
        <v>0</v>
      </c>
      <c r="K53" s="17">
        <f t="shared" si="4"/>
        <v>0</v>
      </c>
      <c r="R53" s="15"/>
    </row>
    <row r="54" ht="15.75" customHeight="1">
      <c r="B54" s="23" t="s">
        <v>33</v>
      </c>
      <c r="C54" s="3"/>
      <c r="F54" s="27"/>
      <c r="G54" s="27"/>
      <c r="H54" s="27"/>
      <c r="I54" s="13"/>
      <c r="J54" s="17">
        <f t="shared" si="3"/>
        <v>0</v>
      </c>
      <c r="K54" s="17">
        <f t="shared" si="4"/>
        <v>0</v>
      </c>
      <c r="R54" s="15"/>
    </row>
    <row r="55" ht="15.75" customHeight="1">
      <c r="B55" s="25"/>
      <c r="C55" s="25"/>
      <c r="R55" s="15"/>
    </row>
    <row r="56" ht="15.75" customHeight="1">
      <c r="B56" s="25" t="s">
        <v>6</v>
      </c>
      <c r="C56" s="31">
        <f>C45*(1-C47)</f>
        <v>18.37</v>
      </c>
      <c r="R56" s="15"/>
    </row>
    <row r="57" ht="15.75" customHeight="1">
      <c r="B57" s="25" t="s">
        <v>27</v>
      </c>
      <c r="C57" s="31">
        <f>C42*C56</f>
        <v>106.47252</v>
      </c>
      <c r="R57" s="15"/>
    </row>
    <row r="58" ht="15.75" customHeight="1">
      <c r="B58" s="25" t="s">
        <v>34</v>
      </c>
      <c r="C58" s="31">
        <f>((((C41/1000)+0.005)*C50)*(1-C51))*(1+C52)</f>
        <v>0.594</v>
      </c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9"/>
    </row>
    <row r="59" ht="15.75" customHeight="1"/>
    <row r="60" ht="15.75" customHeight="1">
      <c r="B60" s="4" t="s">
        <v>37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3"/>
    </row>
    <row r="61" ht="15.75" customHeight="1">
      <c r="B61" s="5" t="s">
        <v>2</v>
      </c>
      <c r="C61" s="6" t="s">
        <v>3</v>
      </c>
      <c r="D61" s="3"/>
      <c r="E61" s="7"/>
      <c r="F61" s="8" t="s">
        <v>4</v>
      </c>
      <c r="G61" s="2"/>
      <c r="H61" s="3"/>
      <c r="I61" s="9"/>
      <c r="J61" s="10" t="s">
        <v>5</v>
      </c>
      <c r="K61" s="10" t="s">
        <v>6</v>
      </c>
      <c r="L61" s="11"/>
      <c r="M61" s="7"/>
      <c r="N61" s="7"/>
      <c r="O61" s="7"/>
      <c r="P61" s="7"/>
      <c r="Q61" s="7"/>
      <c r="R61" s="12"/>
    </row>
    <row r="62" ht="15.75" customHeight="1">
      <c r="B62" s="5" t="s">
        <v>7</v>
      </c>
      <c r="C62" s="6" t="s">
        <v>38</v>
      </c>
      <c r="D62" s="3"/>
      <c r="F62" s="13" t="s">
        <v>9</v>
      </c>
      <c r="G62" s="13" t="s">
        <v>10</v>
      </c>
      <c r="H62" s="13" t="s">
        <v>11</v>
      </c>
      <c r="I62" s="9"/>
      <c r="J62" s="13"/>
      <c r="K62" s="13"/>
      <c r="L62" s="14"/>
      <c r="R62" s="15"/>
    </row>
    <row r="63" ht="15.75" customHeight="1">
      <c r="B63" s="5" t="s">
        <v>12</v>
      </c>
      <c r="C63" s="6" t="s">
        <v>39</v>
      </c>
      <c r="D63" s="3"/>
      <c r="F63" s="16"/>
      <c r="G63" s="16"/>
      <c r="H63" s="16"/>
      <c r="I63" s="9"/>
      <c r="J63" s="17">
        <f t="shared" ref="J63:J82" si="5">((F63+F63+G63+G63)*H63)/1000</f>
        <v>0</v>
      </c>
      <c r="K63" s="17">
        <f t="shared" ref="K63:K82" si="6">(F63*G63*H63)/1000000</f>
        <v>0</v>
      </c>
      <c r="L63" s="18"/>
      <c r="M63" s="19" t="s">
        <v>14</v>
      </c>
      <c r="N63" s="2"/>
      <c r="O63" s="2"/>
      <c r="P63" s="3"/>
      <c r="Q63" s="20">
        <f>SUM(J63:J82)</f>
        <v>0</v>
      </c>
      <c r="R63" s="15" t="s">
        <v>5</v>
      </c>
    </row>
    <row r="64" ht="15.75" customHeight="1">
      <c r="B64" s="21"/>
      <c r="F64" s="16"/>
      <c r="G64" s="16"/>
      <c r="H64" s="16"/>
      <c r="I64" s="9"/>
      <c r="J64" s="17">
        <f t="shared" si="5"/>
        <v>0</v>
      </c>
      <c r="K64" s="17">
        <f t="shared" si="6"/>
        <v>0</v>
      </c>
      <c r="L64" s="18"/>
      <c r="M64" s="19" t="s">
        <v>15</v>
      </c>
      <c r="N64" s="2"/>
      <c r="O64" s="2"/>
      <c r="P64" s="3"/>
      <c r="Q64" s="22">
        <f>_xlfn.CEILING.MATH(Q63,50,1)</f>
        <v>0</v>
      </c>
      <c r="R64" s="15"/>
    </row>
    <row r="65" ht="15.75" customHeight="1">
      <c r="B65" s="23" t="s">
        <v>16</v>
      </c>
      <c r="C65" s="3"/>
      <c r="F65" s="16"/>
      <c r="G65" s="16"/>
      <c r="H65" s="16"/>
      <c r="I65" s="9"/>
      <c r="J65" s="17">
        <f t="shared" si="5"/>
        <v>0</v>
      </c>
      <c r="K65" s="17">
        <f t="shared" si="6"/>
        <v>0</v>
      </c>
      <c r="L65" s="18"/>
      <c r="M65" s="19" t="s">
        <v>17</v>
      </c>
      <c r="N65" s="2"/>
      <c r="O65" s="2"/>
      <c r="P65" s="3"/>
      <c r="Q65" s="24">
        <f>Q64*C86</f>
        <v>0</v>
      </c>
      <c r="R65" s="15"/>
    </row>
    <row r="66" ht="15.75" customHeight="1">
      <c r="B66" s="25"/>
      <c r="C66" s="25"/>
      <c r="F66" s="16"/>
      <c r="G66" s="16"/>
      <c r="H66" s="16"/>
      <c r="I66" s="9"/>
      <c r="J66" s="17">
        <f t="shared" si="5"/>
        <v>0</v>
      </c>
      <c r="K66" s="17">
        <f t="shared" si="6"/>
        <v>0</v>
      </c>
      <c r="L66" s="18"/>
      <c r="R66" s="15"/>
    </row>
    <row r="67" ht="15.75" customHeight="1">
      <c r="B67" s="25" t="s">
        <v>18</v>
      </c>
      <c r="C67" s="26">
        <v>2800.0</v>
      </c>
      <c r="D67" s="18"/>
      <c r="F67" s="27"/>
      <c r="G67" s="27"/>
      <c r="H67" s="27"/>
      <c r="I67" s="9"/>
      <c r="J67" s="17">
        <f t="shared" si="5"/>
        <v>0</v>
      </c>
      <c r="K67" s="17">
        <f t="shared" si="6"/>
        <v>0</v>
      </c>
      <c r="L67" s="18"/>
      <c r="M67" s="19" t="s">
        <v>19</v>
      </c>
      <c r="N67" s="2"/>
      <c r="O67" s="2"/>
      <c r="P67" s="3"/>
      <c r="Q67" s="20">
        <f>SUM(K63:K82)</f>
        <v>0</v>
      </c>
      <c r="R67" s="15" t="s">
        <v>6</v>
      </c>
    </row>
    <row r="68" ht="15.75" customHeight="1">
      <c r="B68" s="25" t="s">
        <v>20</v>
      </c>
      <c r="C68" s="26">
        <v>2070.0</v>
      </c>
      <c r="D68" s="18"/>
      <c r="F68" s="27"/>
      <c r="G68" s="27"/>
      <c r="H68" s="27"/>
      <c r="I68" s="9"/>
      <c r="J68" s="17">
        <f t="shared" si="5"/>
        <v>0</v>
      </c>
      <c r="K68" s="17">
        <f t="shared" si="6"/>
        <v>0</v>
      </c>
      <c r="L68" s="18"/>
      <c r="M68" s="19" t="s">
        <v>21</v>
      </c>
      <c r="N68" s="2"/>
      <c r="O68" s="2"/>
      <c r="P68" s="3"/>
      <c r="Q68" s="20">
        <f>Q67*(1+C76)</f>
        <v>0</v>
      </c>
      <c r="R68" s="15" t="s">
        <v>6</v>
      </c>
    </row>
    <row r="69" ht="15.75" customHeight="1">
      <c r="B69" s="25" t="s">
        <v>22</v>
      </c>
      <c r="C69" s="26">
        <v>10.0</v>
      </c>
      <c r="D69" s="18"/>
      <c r="F69" s="27"/>
      <c r="G69" s="27"/>
      <c r="H69" s="27"/>
      <c r="I69" s="9"/>
      <c r="J69" s="17">
        <f t="shared" si="5"/>
        <v>0</v>
      </c>
      <c r="K69" s="17">
        <f t="shared" si="6"/>
        <v>0</v>
      </c>
      <c r="L69" s="18"/>
      <c r="R69" s="15"/>
    </row>
    <row r="70" ht="15.75" customHeight="1">
      <c r="B70" s="25" t="s">
        <v>23</v>
      </c>
      <c r="C70" s="17">
        <f>(C67*C68)/1000000</f>
        <v>5.796</v>
      </c>
      <c r="D70" s="28"/>
      <c r="F70" s="27"/>
      <c r="G70" s="27"/>
      <c r="H70" s="27"/>
      <c r="I70" s="13"/>
      <c r="J70" s="17">
        <f t="shared" si="5"/>
        <v>0</v>
      </c>
      <c r="K70" s="17">
        <f t="shared" si="6"/>
        <v>0</v>
      </c>
      <c r="L70" s="18"/>
      <c r="M70" s="19" t="s">
        <v>24</v>
      </c>
      <c r="N70" s="2"/>
      <c r="O70" s="2"/>
      <c r="P70" s="3"/>
      <c r="Q70" s="22">
        <f>_xlfn.CEILING.MATH(Q68/C70,1,1)</f>
        <v>0</v>
      </c>
      <c r="R70" s="15"/>
    </row>
    <row r="71" ht="15.75" customHeight="1">
      <c r="B71" s="21"/>
      <c r="F71" s="27"/>
      <c r="G71" s="27"/>
      <c r="H71" s="27"/>
      <c r="I71" s="13"/>
      <c r="J71" s="17">
        <f t="shared" si="5"/>
        <v>0</v>
      </c>
      <c r="K71" s="17">
        <f t="shared" si="6"/>
        <v>0</v>
      </c>
      <c r="L71" s="18"/>
      <c r="M71" s="19" t="s">
        <v>25</v>
      </c>
      <c r="N71" s="2"/>
      <c r="O71" s="2"/>
      <c r="P71" s="3"/>
      <c r="Q71" s="24">
        <f>Q70*C85</f>
        <v>0</v>
      </c>
      <c r="R71" s="15"/>
    </row>
    <row r="72" ht="15.75" customHeight="1">
      <c r="B72" s="23" t="s">
        <v>26</v>
      </c>
      <c r="C72" s="3"/>
      <c r="F72" s="27"/>
      <c r="G72" s="27"/>
      <c r="H72" s="27"/>
      <c r="I72" s="13"/>
      <c r="J72" s="17">
        <f t="shared" si="5"/>
        <v>0</v>
      </c>
      <c r="K72" s="17">
        <f t="shared" si="6"/>
        <v>0</v>
      </c>
      <c r="L72" s="18"/>
      <c r="R72" s="15"/>
    </row>
    <row r="73" ht="15.75" customHeight="1">
      <c r="B73" s="25" t="s">
        <v>6</v>
      </c>
      <c r="C73" s="29">
        <v>23.04</v>
      </c>
      <c r="D73" s="30"/>
      <c r="F73" s="16"/>
      <c r="G73" s="16"/>
      <c r="H73" s="16"/>
      <c r="I73" s="9"/>
      <c r="J73" s="17">
        <f t="shared" si="5"/>
        <v>0</v>
      </c>
      <c r="K73" s="17">
        <f t="shared" si="6"/>
        <v>0</v>
      </c>
      <c r="R73" s="15"/>
    </row>
    <row r="74" ht="15.75" customHeight="1">
      <c r="B74" s="25" t="s">
        <v>27</v>
      </c>
      <c r="C74" s="31">
        <f>C73*C70</f>
        <v>133.53984</v>
      </c>
      <c r="F74" s="16"/>
      <c r="G74" s="16"/>
      <c r="H74" s="16"/>
      <c r="I74" s="9"/>
      <c r="J74" s="17">
        <f t="shared" si="5"/>
        <v>0</v>
      </c>
      <c r="K74" s="17">
        <f t="shared" si="6"/>
        <v>0</v>
      </c>
      <c r="P74" s="32" t="s">
        <v>28</v>
      </c>
      <c r="Q74" s="33"/>
      <c r="R74" s="15"/>
    </row>
    <row r="75" ht="15.75" customHeight="1">
      <c r="B75" s="25" t="s">
        <v>29</v>
      </c>
      <c r="C75" s="34">
        <v>0.45</v>
      </c>
      <c r="F75" s="16"/>
      <c r="G75" s="16"/>
      <c r="H75" s="16"/>
      <c r="I75" s="9"/>
      <c r="J75" s="17">
        <f t="shared" si="5"/>
        <v>0</v>
      </c>
      <c r="K75" s="17">
        <f t="shared" si="6"/>
        <v>0</v>
      </c>
      <c r="P75" s="35">
        <f>Q71+Q65</f>
        <v>0</v>
      </c>
      <c r="Q75" s="36"/>
      <c r="R75" s="15"/>
    </row>
    <row r="76" ht="15.75" customHeight="1">
      <c r="B76" s="25" t="s">
        <v>30</v>
      </c>
      <c r="C76" s="34">
        <v>0.3</v>
      </c>
      <c r="F76" s="16"/>
      <c r="G76" s="16"/>
      <c r="H76" s="16"/>
      <c r="I76" s="9"/>
      <c r="J76" s="17">
        <f t="shared" si="5"/>
        <v>0</v>
      </c>
      <c r="K76" s="17">
        <f t="shared" si="6"/>
        <v>0</v>
      </c>
      <c r="R76" s="15"/>
    </row>
    <row r="77" ht="15.75" customHeight="1">
      <c r="B77" s="23" t="s">
        <v>31</v>
      </c>
      <c r="C77" s="3"/>
      <c r="F77" s="27"/>
      <c r="G77" s="27"/>
      <c r="H77" s="27"/>
      <c r="I77" s="9"/>
      <c r="J77" s="17">
        <f t="shared" si="5"/>
        <v>0</v>
      </c>
      <c r="K77" s="17">
        <f t="shared" si="6"/>
        <v>0</v>
      </c>
      <c r="R77" s="15"/>
    </row>
    <row r="78" ht="15.75" customHeight="1">
      <c r="B78" s="25" t="s">
        <v>32</v>
      </c>
      <c r="C78" s="37">
        <v>0.0</v>
      </c>
      <c r="F78" s="27"/>
      <c r="G78" s="27"/>
      <c r="H78" s="27"/>
      <c r="I78" s="9"/>
      <c r="J78" s="17">
        <f t="shared" si="5"/>
        <v>0</v>
      </c>
      <c r="K78" s="17">
        <f t="shared" si="6"/>
        <v>0</v>
      </c>
      <c r="R78" s="15"/>
    </row>
    <row r="79" ht="15.75" customHeight="1">
      <c r="B79" s="25" t="s">
        <v>29</v>
      </c>
      <c r="C79" s="34">
        <v>0.4</v>
      </c>
      <c r="F79" s="27"/>
      <c r="G79" s="27"/>
      <c r="H79" s="27"/>
      <c r="I79" s="9"/>
      <c r="J79" s="17">
        <f t="shared" si="5"/>
        <v>0</v>
      </c>
      <c r="K79" s="17">
        <f t="shared" si="6"/>
        <v>0</v>
      </c>
      <c r="R79" s="15"/>
    </row>
    <row r="80" ht="15.75" customHeight="1">
      <c r="B80" s="25" t="s">
        <v>30</v>
      </c>
      <c r="C80" s="34">
        <v>0.1</v>
      </c>
      <c r="F80" s="27"/>
      <c r="G80" s="27"/>
      <c r="H80" s="27"/>
      <c r="I80" s="13"/>
      <c r="J80" s="17">
        <f t="shared" si="5"/>
        <v>0</v>
      </c>
      <c r="K80" s="17">
        <f t="shared" si="6"/>
        <v>0</v>
      </c>
      <c r="R80" s="15"/>
    </row>
    <row r="81" ht="15.75" customHeight="1">
      <c r="B81" s="21"/>
      <c r="F81" s="27"/>
      <c r="G81" s="27"/>
      <c r="H81" s="27"/>
      <c r="I81" s="13"/>
      <c r="J81" s="17">
        <f t="shared" si="5"/>
        <v>0</v>
      </c>
      <c r="K81" s="17">
        <f t="shared" si="6"/>
        <v>0</v>
      </c>
      <c r="R81" s="15"/>
    </row>
    <row r="82" ht="15.75" customHeight="1">
      <c r="B82" s="23" t="s">
        <v>33</v>
      </c>
      <c r="C82" s="3"/>
      <c r="F82" s="27"/>
      <c r="G82" s="27"/>
      <c r="H82" s="27"/>
      <c r="I82" s="13"/>
      <c r="J82" s="17">
        <f t="shared" si="5"/>
        <v>0</v>
      </c>
      <c r="K82" s="17">
        <f t="shared" si="6"/>
        <v>0</v>
      </c>
      <c r="R82" s="15"/>
    </row>
    <row r="83" ht="15.75" customHeight="1">
      <c r="B83" s="25"/>
      <c r="C83" s="25"/>
      <c r="R83" s="15"/>
    </row>
    <row r="84" ht="15.75" customHeight="1">
      <c r="B84" s="25" t="s">
        <v>6</v>
      </c>
      <c r="C84" s="31">
        <f>C73*(1-C75)</f>
        <v>12.672</v>
      </c>
      <c r="R84" s="15"/>
    </row>
    <row r="85" ht="15.75" customHeight="1">
      <c r="B85" s="25" t="s">
        <v>27</v>
      </c>
      <c r="C85" s="31">
        <f>C70*C84</f>
        <v>73.446912</v>
      </c>
      <c r="R85" s="15"/>
    </row>
    <row r="86" ht="15.75" customHeight="1">
      <c r="B86" s="25" t="s">
        <v>34</v>
      </c>
      <c r="C86" s="31">
        <f>((((C69/1000)+0.005)*C78)*(1-C79))*(1+C80)</f>
        <v>0</v>
      </c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9"/>
    </row>
    <row r="87" ht="15.75" customHeight="1"/>
    <row r="88" ht="15.75" customHeight="1">
      <c r="B88" s="4" t="s">
        <v>40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3"/>
    </row>
    <row r="89" ht="15.75" customHeight="1">
      <c r="B89" s="5" t="s">
        <v>2</v>
      </c>
      <c r="C89" s="6" t="s">
        <v>3</v>
      </c>
      <c r="D89" s="3"/>
      <c r="E89" s="7"/>
      <c r="F89" s="8" t="s">
        <v>4</v>
      </c>
      <c r="G89" s="2"/>
      <c r="H89" s="3"/>
      <c r="I89" s="9"/>
      <c r="J89" s="10" t="s">
        <v>5</v>
      </c>
      <c r="K89" s="10" t="s">
        <v>6</v>
      </c>
      <c r="L89" s="11"/>
      <c r="M89" s="7"/>
      <c r="N89" s="7"/>
      <c r="O89" s="7"/>
      <c r="P89" s="7"/>
      <c r="Q89" s="7"/>
      <c r="R89" s="12"/>
    </row>
    <row r="90" ht="15.75" customHeight="1">
      <c r="B90" s="5" t="s">
        <v>7</v>
      </c>
      <c r="C90" s="6" t="s">
        <v>41</v>
      </c>
      <c r="D90" s="3"/>
      <c r="F90" s="13" t="s">
        <v>9</v>
      </c>
      <c r="G90" s="13" t="s">
        <v>10</v>
      </c>
      <c r="H90" s="13" t="s">
        <v>11</v>
      </c>
      <c r="I90" s="9"/>
      <c r="J90" s="13"/>
      <c r="K90" s="13"/>
      <c r="L90" s="14"/>
      <c r="R90" s="15"/>
    </row>
    <row r="91" ht="15.75" customHeight="1">
      <c r="B91" s="5" t="s">
        <v>12</v>
      </c>
      <c r="C91" s="6" t="s">
        <v>36</v>
      </c>
      <c r="D91" s="3"/>
      <c r="F91" s="16"/>
      <c r="G91" s="16"/>
      <c r="H91" s="16"/>
      <c r="I91" s="9"/>
      <c r="J91" s="17">
        <f t="shared" ref="J91:J110" si="7">((F91+F91+G91+G91)*H91)/1000</f>
        <v>0</v>
      </c>
      <c r="K91" s="17">
        <f t="shared" ref="K91:K110" si="8">(F91*G91*H91)/1000000</f>
        <v>0</v>
      </c>
      <c r="L91" s="18"/>
      <c r="M91" s="19" t="s">
        <v>14</v>
      </c>
      <c r="N91" s="2"/>
      <c r="O91" s="2"/>
      <c r="P91" s="3"/>
      <c r="Q91" s="20">
        <f>SUM(J91:J110)</f>
        <v>0</v>
      </c>
      <c r="R91" s="15" t="s">
        <v>5</v>
      </c>
    </row>
    <row r="92" ht="15.75" customHeight="1">
      <c r="B92" s="21"/>
      <c r="F92" s="16"/>
      <c r="G92" s="16"/>
      <c r="H92" s="16"/>
      <c r="I92" s="9"/>
      <c r="J92" s="17">
        <f t="shared" si="7"/>
        <v>0</v>
      </c>
      <c r="K92" s="17">
        <f t="shared" si="8"/>
        <v>0</v>
      </c>
      <c r="L92" s="18"/>
      <c r="M92" s="19" t="s">
        <v>15</v>
      </c>
      <c r="N92" s="2"/>
      <c r="O92" s="2"/>
      <c r="P92" s="3"/>
      <c r="Q92" s="22">
        <f>_xlfn.CEILING.MATH(Q91,50,1)</f>
        <v>0</v>
      </c>
      <c r="R92" s="15"/>
    </row>
    <row r="93" ht="15.75" customHeight="1">
      <c r="B93" s="23" t="s">
        <v>16</v>
      </c>
      <c r="C93" s="3"/>
      <c r="F93" s="16"/>
      <c r="G93" s="16"/>
      <c r="H93" s="16"/>
      <c r="I93" s="9"/>
      <c r="J93" s="17">
        <f t="shared" si="7"/>
        <v>0</v>
      </c>
      <c r="K93" s="17">
        <f t="shared" si="8"/>
        <v>0</v>
      </c>
      <c r="L93" s="18"/>
      <c r="M93" s="19" t="s">
        <v>17</v>
      </c>
      <c r="N93" s="2"/>
      <c r="O93" s="2"/>
      <c r="P93" s="3"/>
      <c r="Q93" s="24">
        <f>Q92*C114</f>
        <v>0</v>
      </c>
      <c r="R93" s="15"/>
    </row>
    <row r="94" ht="15.75" customHeight="1">
      <c r="B94" s="25"/>
      <c r="C94" s="25"/>
      <c r="F94" s="16"/>
      <c r="G94" s="16"/>
      <c r="H94" s="16"/>
      <c r="I94" s="9"/>
      <c r="J94" s="17">
        <f t="shared" si="7"/>
        <v>0</v>
      </c>
      <c r="K94" s="17">
        <f t="shared" si="8"/>
        <v>0</v>
      </c>
      <c r="L94" s="18"/>
      <c r="R94" s="15"/>
    </row>
    <row r="95" ht="15.75" customHeight="1">
      <c r="B95" s="25" t="s">
        <v>18</v>
      </c>
      <c r="C95" s="26">
        <v>3660.0</v>
      </c>
      <c r="D95" s="18"/>
      <c r="F95" s="27"/>
      <c r="G95" s="27"/>
      <c r="H95" s="27"/>
      <c r="I95" s="9"/>
      <c r="J95" s="17">
        <f t="shared" si="7"/>
        <v>0</v>
      </c>
      <c r="K95" s="17">
        <f t="shared" si="8"/>
        <v>0</v>
      </c>
      <c r="L95" s="18"/>
      <c r="M95" s="19" t="s">
        <v>19</v>
      </c>
      <c r="N95" s="2"/>
      <c r="O95" s="2"/>
      <c r="P95" s="3"/>
      <c r="Q95" s="20">
        <f>SUM(K91:K110)</f>
        <v>0</v>
      </c>
      <c r="R95" s="15" t="s">
        <v>6</v>
      </c>
    </row>
    <row r="96" ht="15.75" customHeight="1">
      <c r="B96" s="25" t="s">
        <v>20</v>
      </c>
      <c r="C96" s="26">
        <v>2200.0</v>
      </c>
      <c r="D96" s="18"/>
      <c r="F96" s="27"/>
      <c r="G96" s="27"/>
      <c r="H96" s="27"/>
      <c r="I96" s="9"/>
      <c r="J96" s="17">
        <f t="shared" si="7"/>
        <v>0</v>
      </c>
      <c r="K96" s="17">
        <f t="shared" si="8"/>
        <v>0</v>
      </c>
      <c r="L96" s="18"/>
      <c r="M96" s="19" t="s">
        <v>21</v>
      </c>
      <c r="N96" s="2"/>
      <c r="O96" s="2"/>
      <c r="P96" s="3"/>
      <c r="Q96" s="20">
        <f>Q95*(1+C104)</f>
        <v>0</v>
      </c>
      <c r="R96" s="15" t="s">
        <v>6</v>
      </c>
    </row>
    <row r="97" ht="15.75" customHeight="1">
      <c r="B97" s="25" t="s">
        <v>22</v>
      </c>
      <c r="C97" s="26">
        <v>19.0</v>
      </c>
      <c r="D97" s="18"/>
      <c r="F97" s="27"/>
      <c r="G97" s="27"/>
      <c r="H97" s="27"/>
      <c r="I97" s="9"/>
      <c r="J97" s="17">
        <f t="shared" si="7"/>
        <v>0</v>
      </c>
      <c r="K97" s="17">
        <f t="shared" si="8"/>
        <v>0</v>
      </c>
      <c r="L97" s="18"/>
      <c r="R97" s="15"/>
    </row>
    <row r="98" ht="15.75" customHeight="1">
      <c r="B98" s="25" t="s">
        <v>23</v>
      </c>
      <c r="C98" s="17">
        <f>(C95*C96)/1000000</f>
        <v>8.052</v>
      </c>
      <c r="D98" s="28"/>
      <c r="F98" s="27"/>
      <c r="G98" s="27"/>
      <c r="H98" s="27"/>
      <c r="I98" s="13"/>
      <c r="J98" s="17">
        <f t="shared" si="7"/>
        <v>0</v>
      </c>
      <c r="K98" s="17">
        <f t="shared" si="8"/>
        <v>0</v>
      </c>
      <c r="L98" s="18"/>
      <c r="M98" s="19" t="s">
        <v>24</v>
      </c>
      <c r="N98" s="2"/>
      <c r="O98" s="2"/>
      <c r="P98" s="3"/>
      <c r="Q98" s="22">
        <f>_xlfn.CEILING.MATH(Q96/C98,1,1)</f>
        <v>0</v>
      </c>
      <c r="R98" s="15"/>
    </row>
    <row r="99" ht="15.75" customHeight="1">
      <c r="B99" s="21"/>
      <c r="F99" s="27"/>
      <c r="G99" s="27"/>
      <c r="H99" s="27"/>
      <c r="I99" s="13"/>
      <c r="J99" s="17">
        <f t="shared" si="7"/>
        <v>0</v>
      </c>
      <c r="K99" s="17">
        <f t="shared" si="8"/>
        <v>0</v>
      </c>
      <c r="L99" s="18"/>
      <c r="M99" s="19" t="s">
        <v>25</v>
      </c>
      <c r="N99" s="2"/>
      <c r="O99" s="2"/>
      <c r="P99" s="3"/>
      <c r="Q99" s="24">
        <f>Q98*C113</f>
        <v>0</v>
      </c>
      <c r="R99" s="15"/>
    </row>
    <row r="100" ht="15.75" customHeight="1">
      <c r="B100" s="23" t="s">
        <v>26</v>
      </c>
      <c r="C100" s="3"/>
      <c r="F100" s="27"/>
      <c r="G100" s="27"/>
      <c r="H100" s="27"/>
      <c r="I100" s="13"/>
      <c r="J100" s="17">
        <f t="shared" si="7"/>
        <v>0</v>
      </c>
      <c r="K100" s="17">
        <f t="shared" si="8"/>
        <v>0</v>
      </c>
      <c r="L100" s="18"/>
      <c r="R100" s="15"/>
    </row>
    <row r="101" ht="15.75" customHeight="1">
      <c r="B101" s="25" t="s">
        <v>6</v>
      </c>
      <c r="C101" s="29">
        <v>15.9</v>
      </c>
      <c r="D101" s="30"/>
      <c r="F101" s="16"/>
      <c r="G101" s="16"/>
      <c r="H101" s="16"/>
      <c r="I101" s="9"/>
      <c r="J101" s="17">
        <f t="shared" si="7"/>
        <v>0</v>
      </c>
      <c r="K101" s="17">
        <f t="shared" si="8"/>
        <v>0</v>
      </c>
      <c r="R101" s="15"/>
    </row>
    <row r="102" ht="15.75" customHeight="1">
      <c r="B102" s="25" t="s">
        <v>27</v>
      </c>
      <c r="C102" s="31">
        <f>C101*C98</f>
        <v>128.0268</v>
      </c>
      <c r="F102" s="16"/>
      <c r="G102" s="16"/>
      <c r="H102" s="16"/>
      <c r="I102" s="9"/>
      <c r="J102" s="17">
        <f t="shared" si="7"/>
        <v>0</v>
      </c>
      <c r="K102" s="17">
        <f t="shared" si="8"/>
        <v>0</v>
      </c>
      <c r="P102" s="32" t="s">
        <v>28</v>
      </c>
      <c r="Q102" s="33"/>
      <c r="R102" s="15"/>
    </row>
    <row r="103" ht="15.75" customHeight="1">
      <c r="B103" s="25" t="s">
        <v>29</v>
      </c>
      <c r="C103" s="34">
        <v>0.25</v>
      </c>
      <c r="F103" s="16"/>
      <c r="G103" s="16"/>
      <c r="H103" s="16"/>
      <c r="I103" s="9"/>
      <c r="J103" s="17">
        <f t="shared" si="7"/>
        <v>0</v>
      </c>
      <c r="K103" s="17">
        <f t="shared" si="8"/>
        <v>0</v>
      </c>
      <c r="P103" s="35">
        <f>Q99+Q93</f>
        <v>0</v>
      </c>
      <c r="Q103" s="36"/>
      <c r="R103" s="15"/>
    </row>
    <row r="104" ht="15.75" customHeight="1">
      <c r="B104" s="25" t="s">
        <v>30</v>
      </c>
      <c r="C104" s="34">
        <v>0.3</v>
      </c>
      <c r="F104" s="16"/>
      <c r="G104" s="16"/>
      <c r="H104" s="16"/>
      <c r="I104" s="9"/>
      <c r="J104" s="17">
        <f t="shared" si="7"/>
        <v>0</v>
      </c>
      <c r="K104" s="17">
        <f t="shared" si="8"/>
        <v>0</v>
      </c>
      <c r="R104" s="15"/>
    </row>
    <row r="105" ht="15.75" customHeight="1">
      <c r="B105" s="23" t="s">
        <v>31</v>
      </c>
      <c r="C105" s="3"/>
      <c r="F105" s="27"/>
      <c r="G105" s="27"/>
      <c r="H105" s="27"/>
      <c r="I105" s="9"/>
      <c r="J105" s="17">
        <f t="shared" si="7"/>
        <v>0</v>
      </c>
      <c r="K105" s="17">
        <f t="shared" si="8"/>
        <v>0</v>
      </c>
      <c r="R105" s="15"/>
    </row>
    <row r="106" ht="15.75" customHeight="1">
      <c r="B106" s="25" t="s">
        <v>32</v>
      </c>
      <c r="C106" s="37">
        <v>0.0</v>
      </c>
      <c r="F106" s="27"/>
      <c r="G106" s="27"/>
      <c r="H106" s="27"/>
      <c r="I106" s="9"/>
      <c r="J106" s="17">
        <f t="shared" si="7"/>
        <v>0</v>
      </c>
      <c r="K106" s="17">
        <f t="shared" si="8"/>
        <v>0</v>
      </c>
      <c r="R106" s="15"/>
    </row>
    <row r="107" ht="15.75" customHeight="1">
      <c r="B107" s="25" t="s">
        <v>29</v>
      </c>
      <c r="C107" s="34">
        <v>0.4</v>
      </c>
      <c r="F107" s="27"/>
      <c r="G107" s="27"/>
      <c r="H107" s="27"/>
      <c r="I107" s="9"/>
      <c r="J107" s="17">
        <f t="shared" si="7"/>
        <v>0</v>
      </c>
      <c r="K107" s="17">
        <f t="shared" si="8"/>
        <v>0</v>
      </c>
      <c r="R107" s="15"/>
    </row>
    <row r="108" ht="15.75" customHeight="1">
      <c r="B108" s="25" t="s">
        <v>30</v>
      </c>
      <c r="C108" s="34">
        <v>0.1</v>
      </c>
      <c r="F108" s="27"/>
      <c r="G108" s="27"/>
      <c r="H108" s="27"/>
      <c r="I108" s="13"/>
      <c r="J108" s="17">
        <f t="shared" si="7"/>
        <v>0</v>
      </c>
      <c r="K108" s="17">
        <f t="shared" si="8"/>
        <v>0</v>
      </c>
      <c r="R108" s="15"/>
    </row>
    <row r="109" ht="15.75" customHeight="1">
      <c r="B109" s="21"/>
      <c r="F109" s="27"/>
      <c r="G109" s="27"/>
      <c r="H109" s="27"/>
      <c r="I109" s="13"/>
      <c r="J109" s="17">
        <f t="shared" si="7"/>
        <v>0</v>
      </c>
      <c r="K109" s="17">
        <f t="shared" si="8"/>
        <v>0</v>
      </c>
      <c r="R109" s="15"/>
    </row>
    <row r="110" ht="15.75" customHeight="1">
      <c r="B110" s="23" t="s">
        <v>33</v>
      </c>
      <c r="C110" s="3"/>
      <c r="F110" s="27"/>
      <c r="G110" s="27"/>
      <c r="H110" s="27"/>
      <c r="I110" s="13"/>
      <c r="J110" s="17">
        <f t="shared" si="7"/>
        <v>0</v>
      </c>
      <c r="K110" s="17">
        <f t="shared" si="8"/>
        <v>0</v>
      </c>
      <c r="R110" s="15"/>
    </row>
    <row r="111" ht="15.75" customHeight="1">
      <c r="B111" s="25"/>
      <c r="C111" s="25"/>
      <c r="R111" s="15"/>
    </row>
    <row r="112" ht="15.75" customHeight="1">
      <c r="B112" s="25" t="s">
        <v>6</v>
      </c>
      <c r="C112" s="31">
        <f>C101*(1-C103)</f>
        <v>11.925</v>
      </c>
      <c r="R112" s="15"/>
    </row>
    <row r="113" ht="15.75" customHeight="1">
      <c r="B113" s="25" t="s">
        <v>27</v>
      </c>
      <c r="C113" s="31">
        <f>C98*C112</f>
        <v>96.0201</v>
      </c>
      <c r="R113" s="15"/>
    </row>
    <row r="114" ht="15.75" customHeight="1">
      <c r="B114" s="25" t="s">
        <v>34</v>
      </c>
      <c r="C114" s="31">
        <f>((((C97/1000)+0.005)*C106)*(1-C107))*(1+C108)</f>
        <v>0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9"/>
    </row>
    <row r="115" ht="15.75" customHeight="1"/>
    <row r="116" ht="15.75" customHeight="1">
      <c r="B116" s="4">
        <v>5.0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3"/>
    </row>
    <row r="117" ht="15.75" customHeight="1">
      <c r="B117" s="5" t="s">
        <v>2</v>
      </c>
      <c r="C117" s="6" t="s">
        <v>42</v>
      </c>
      <c r="D117" s="3"/>
      <c r="E117" s="7"/>
      <c r="F117" s="8" t="s">
        <v>4</v>
      </c>
      <c r="G117" s="2"/>
      <c r="H117" s="3"/>
      <c r="I117" s="9"/>
      <c r="J117" s="10" t="s">
        <v>5</v>
      </c>
      <c r="K117" s="10" t="s">
        <v>6</v>
      </c>
      <c r="L117" s="11"/>
      <c r="M117" s="7"/>
      <c r="N117" s="7"/>
      <c r="O117" s="7"/>
      <c r="P117" s="7"/>
      <c r="Q117" s="7"/>
      <c r="R117" s="12"/>
    </row>
    <row r="118" ht="15.75" customHeight="1">
      <c r="B118" s="5" t="s">
        <v>7</v>
      </c>
      <c r="C118" s="6" t="s">
        <v>43</v>
      </c>
      <c r="D118" s="3"/>
      <c r="F118" s="13" t="s">
        <v>9</v>
      </c>
      <c r="G118" s="13" t="s">
        <v>10</v>
      </c>
      <c r="H118" s="13" t="s">
        <v>11</v>
      </c>
      <c r="I118" s="9"/>
      <c r="J118" s="13"/>
      <c r="K118" s="13"/>
      <c r="L118" s="14"/>
      <c r="R118" s="15"/>
    </row>
    <row r="119" ht="15.75" customHeight="1">
      <c r="B119" s="5" t="s">
        <v>12</v>
      </c>
      <c r="C119" s="6"/>
      <c r="D119" s="3"/>
      <c r="F119" s="16"/>
      <c r="G119" s="16"/>
      <c r="H119" s="16"/>
      <c r="I119" s="9"/>
      <c r="J119" s="17">
        <f t="shared" ref="J119:J138" si="9">((F119+F119+G119+G119)*H119)/1000</f>
        <v>0</v>
      </c>
      <c r="K119" s="17">
        <f t="shared" ref="K119:K138" si="10">(F119*G119*H119)/1000000</f>
        <v>0</v>
      </c>
      <c r="L119" s="18"/>
      <c r="M119" s="19" t="s">
        <v>14</v>
      </c>
      <c r="N119" s="2"/>
      <c r="O119" s="2"/>
      <c r="P119" s="3"/>
      <c r="Q119" s="20">
        <f>SUM(J119:J138)</f>
        <v>0</v>
      </c>
      <c r="R119" s="15" t="s">
        <v>5</v>
      </c>
    </row>
    <row r="120" ht="15.75" customHeight="1">
      <c r="B120" s="21"/>
      <c r="F120" s="16"/>
      <c r="G120" s="16"/>
      <c r="H120" s="16"/>
      <c r="I120" s="9"/>
      <c r="J120" s="17">
        <f t="shared" si="9"/>
        <v>0</v>
      </c>
      <c r="K120" s="17">
        <f t="shared" si="10"/>
        <v>0</v>
      </c>
      <c r="L120" s="18"/>
      <c r="M120" s="19" t="s">
        <v>15</v>
      </c>
      <c r="N120" s="2"/>
      <c r="O120" s="2"/>
      <c r="P120" s="3"/>
      <c r="Q120" s="22">
        <f>_xlfn.CEILING.MATH(Q119,50,1)</f>
        <v>0</v>
      </c>
      <c r="R120" s="15"/>
    </row>
    <row r="121" ht="15.75" customHeight="1">
      <c r="B121" s="23" t="s">
        <v>16</v>
      </c>
      <c r="C121" s="3"/>
      <c r="F121" s="16"/>
      <c r="G121" s="16"/>
      <c r="H121" s="16"/>
      <c r="I121" s="9"/>
      <c r="J121" s="17">
        <f t="shared" si="9"/>
        <v>0</v>
      </c>
      <c r="K121" s="17">
        <f t="shared" si="10"/>
        <v>0</v>
      </c>
      <c r="L121" s="18"/>
      <c r="M121" s="19" t="s">
        <v>17</v>
      </c>
      <c r="N121" s="2"/>
      <c r="O121" s="2"/>
      <c r="P121" s="3"/>
      <c r="Q121" s="24">
        <f>Q120*C142</f>
        <v>0</v>
      </c>
      <c r="R121" s="15"/>
    </row>
    <row r="122" ht="15.75" customHeight="1">
      <c r="B122" s="25"/>
      <c r="C122" s="25"/>
      <c r="F122" s="16"/>
      <c r="G122" s="16"/>
      <c r="H122" s="16"/>
      <c r="I122" s="9"/>
      <c r="J122" s="17">
        <f t="shared" si="9"/>
        <v>0</v>
      </c>
      <c r="K122" s="17">
        <f t="shared" si="10"/>
        <v>0</v>
      </c>
      <c r="L122" s="18"/>
      <c r="R122" s="15"/>
    </row>
    <row r="123" ht="15.75" customHeight="1">
      <c r="B123" s="25" t="s">
        <v>18</v>
      </c>
      <c r="C123" s="40">
        <v>3660.0</v>
      </c>
      <c r="D123" s="18"/>
      <c r="F123" s="27"/>
      <c r="G123" s="27"/>
      <c r="H123" s="27"/>
      <c r="I123" s="9"/>
      <c r="J123" s="17">
        <f t="shared" si="9"/>
        <v>0</v>
      </c>
      <c r="K123" s="17">
        <f t="shared" si="10"/>
        <v>0</v>
      </c>
      <c r="L123" s="18"/>
      <c r="M123" s="19" t="s">
        <v>19</v>
      </c>
      <c r="N123" s="2"/>
      <c r="O123" s="2"/>
      <c r="P123" s="3"/>
      <c r="Q123" s="20">
        <f>SUM(K119:K138)</f>
        <v>0</v>
      </c>
      <c r="R123" s="15" t="s">
        <v>6</v>
      </c>
    </row>
    <row r="124" ht="15.75" customHeight="1">
      <c r="B124" s="25" t="s">
        <v>20</v>
      </c>
      <c r="C124" s="40">
        <v>2200.0</v>
      </c>
      <c r="D124" s="18"/>
      <c r="F124" s="27"/>
      <c r="G124" s="27"/>
      <c r="H124" s="27"/>
      <c r="I124" s="9"/>
      <c r="J124" s="17">
        <f t="shared" si="9"/>
        <v>0</v>
      </c>
      <c r="K124" s="17">
        <f t="shared" si="10"/>
        <v>0</v>
      </c>
      <c r="L124" s="18"/>
      <c r="M124" s="19" t="s">
        <v>21</v>
      </c>
      <c r="N124" s="2"/>
      <c r="O124" s="2"/>
      <c r="P124" s="3"/>
      <c r="Q124" s="20">
        <f>Q123*(1+C132)</f>
        <v>0</v>
      </c>
      <c r="R124" s="15" t="s">
        <v>6</v>
      </c>
    </row>
    <row r="125" ht="15.75" customHeight="1">
      <c r="B125" s="25" t="s">
        <v>22</v>
      </c>
      <c r="C125" s="40">
        <v>25.0</v>
      </c>
      <c r="D125" s="18"/>
      <c r="F125" s="27"/>
      <c r="G125" s="27"/>
      <c r="H125" s="27"/>
      <c r="I125" s="9"/>
      <c r="J125" s="17">
        <f t="shared" si="9"/>
        <v>0</v>
      </c>
      <c r="K125" s="17">
        <f t="shared" si="10"/>
        <v>0</v>
      </c>
      <c r="L125" s="18"/>
      <c r="R125" s="15"/>
    </row>
    <row r="126" ht="15.75" customHeight="1">
      <c r="B126" s="25" t="s">
        <v>23</v>
      </c>
      <c r="C126" s="17">
        <f>(C123*C124)/1000000</f>
        <v>8.052</v>
      </c>
      <c r="D126" s="28"/>
      <c r="F126" s="27"/>
      <c r="G126" s="27"/>
      <c r="H126" s="27"/>
      <c r="I126" s="13"/>
      <c r="J126" s="17">
        <f t="shared" si="9"/>
        <v>0</v>
      </c>
      <c r="K126" s="17">
        <f t="shared" si="10"/>
        <v>0</v>
      </c>
      <c r="L126" s="18"/>
      <c r="M126" s="19" t="s">
        <v>24</v>
      </c>
      <c r="N126" s="2"/>
      <c r="O126" s="2"/>
      <c r="P126" s="3"/>
      <c r="Q126" s="22">
        <f>_xlfn.CEILING.MATH(Q124/C126,1,1)</f>
        <v>0</v>
      </c>
      <c r="R126" s="15"/>
    </row>
    <row r="127" ht="15.75" customHeight="1">
      <c r="B127" s="21"/>
      <c r="F127" s="27"/>
      <c r="G127" s="27"/>
      <c r="H127" s="27"/>
      <c r="I127" s="13"/>
      <c r="J127" s="17">
        <f t="shared" si="9"/>
        <v>0</v>
      </c>
      <c r="K127" s="17">
        <f t="shared" si="10"/>
        <v>0</v>
      </c>
      <c r="L127" s="18"/>
      <c r="M127" s="19" t="s">
        <v>25</v>
      </c>
      <c r="N127" s="2"/>
      <c r="O127" s="2"/>
      <c r="P127" s="3"/>
      <c r="Q127" s="24">
        <f>Q126*C141</f>
        <v>0</v>
      </c>
      <c r="R127" s="15"/>
    </row>
    <row r="128" ht="15.75" customHeight="1">
      <c r="B128" s="23" t="s">
        <v>26</v>
      </c>
      <c r="C128" s="3"/>
      <c r="F128" s="27"/>
      <c r="G128" s="27"/>
      <c r="H128" s="27"/>
      <c r="I128" s="13"/>
      <c r="J128" s="17">
        <f t="shared" si="9"/>
        <v>0</v>
      </c>
      <c r="K128" s="17">
        <f t="shared" si="10"/>
        <v>0</v>
      </c>
      <c r="L128" s="18"/>
      <c r="R128" s="15"/>
    </row>
    <row r="129" ht="15.75" customHeight="1">
      <c r="B129" s="25" t="s">
        <v>6</v>
      </c>
      <c r="C129" s="29">
        <v>22.37</v>
      </c>
      <c r="D129" s="30"/>
      <c r="F129" s="16"/>
      <c r="G129" s="16"/>
      <c r="H129" s="16"/>
      <c r="I129" s="9"/>
      <c r="J129" s="17">
        <f t="shared" si="9"/>
        <v>0</v>
      </c>
      <c r="K129" s="17">
        <f t="shared" si="10"/>
        <v>0</v>
      </c>
      <c r="R129" s="15"/>
    </row>
    <row r="130" ht="15.75" customHeight="1">
      <c r="B130" s="25" t="s">
        <v>27</v>
      </c>
      <c r="C130" s="31">
        <f>C129*C126</f>
        <v>180.12324</v>
      </c>
      <c r="F130" s="16"/>
      <c r="G130" s="16"/>
      <c r="H130" s="16"/>
      <c r="I130" s="9"/>
      <c r="J130" s="17">
        <f t="shared" si="9"/>
        <v>0</v>
      </c>
      <c r="K130" s="17">
        <f t="shared" si="10"/>
        <v>0</v>
      </c>
      <c r="P130" s="32" t="s">
        <v>28</v>
      </c>
      <c r="Q130" s="33"/>
      <c r="R130" s="15"/>
    </row>
    <row r="131" ht="15.75" customHeight="1">
      <c r="B131" s="25" t="s">
        <v>29</v>
      </c>
      <c r="C131" s="41">
        <v>0.25</v>
      </c>
      <c r="F131" s="16"/>
      <c r="G131" s="16"/>
      <c r="H131" s="16"/>
      <c r="I131" s="9"/>
      <c r="J131" s="17">
        <f t="shared" si="9"/>
        <v>0</v>
      </c>
      <c r="K131" s="17">
        <f t="shared" si="10"/>
        <v>0</v>
      </c>
      <c r="P131" s="35">
        <f>Q127+Q121</f>
        <v>0</v>
      </c>
      <c r="Q131" s="36"/>
      <c r="R131" s="15"/>
    </row>
    <row r="132" ht="15.75" customHeight="1">
      <c r="B132" s="25" t="s">
        <v>30</v>
      </c>
      <c r="C132" s="34">
        <v>0.3</v>
      </c>
      <c r="F132" s="16"/>
      <c r="G132" s="16"/>
      <c r="H132" s="16"/>
      <c r="I132" s="9"/>
      <c r="J132" s="17">
        <f t="shared" si="9"/>
        <v>0</v>
      </c>
      <c r="K132" s="17">
        <f t="shared" si="10"/>
        <v>0</v>
      </c>
      <c r="R132" s="15"/>
    </row>
    <row r="133" ht="15.75" customHeight="1">
      <c r="B133" s="23" t="s">
        <v>31</v>
      </c>
      <c r="C133" s="3"/>
      <c r="F133" s="27"/>
      <c r="G133" s="27"/>
      <c r="H133" s="27"/>
      <c r="I133" s="9"/>
      <c r="J133" s="17">
        <f t="shared" si="9"/>
        <v>0</v>
      </c>
      <c r="K133" s="17">
        <f t="shared" si="10"/>
        <v>0</v>
      </c>
      <c r="R133" s="15"/>
    </row>
    <row r="134" ht="15.75" customHeight="1">
      <c r="B134" s="25" t="s">
        <v>32</v>
      </c>
      <c r="C134" s="42">
        <v>0.0</v>
      </c>
      <c r="F134" s="27"/>
      <c r="G134" s="27"/>
      <c r="H134" s="27"/>
      <c r="I134" s="9"/>
      <c r="J134" s="17">
        <f t="shared" si="9"/>
        <v>0</v>
      </c>
      <c r="K134" s="17">
        <f t="shared" si="10"/>
        <v>0</v>
      </c>
      <c r="R134" s="15"/>
    </row>
    <row r="135" ht="15.75" customHeight="1">
      <c r="B135" s="25" t="s">
        <v>29</v>
      </c>
      <c r="C135" s="34">
        <v>0.4</v>
      </c>
      <c r="F135" s="27"/>
      <c r="G135" s="27"/>
      <c r="H135" s="27"/>
      <c r="I135" s="9"/>
      <c r="J135" s="17">
        <f t="shared" si="9"/>
        <v>0</v>
      </c>
      <c r="K135" s="17">
        <f t="shared" si="10"/>
        <v>0</v>
      </c>
      <c r="R135" s="15"/>
    </row>
    <row r="136" ht="15.75" customHeight="1">
      <c r="B136" s="25" t="s">
        <v>30</v>
      </c>
      <c r="C136" s="34">
        <v>0.1</v>
      </c>
      <c r="F136" s="27"/>
      <c r="G136" s="27"/>
      <c r="H136" s="27"/>
      <c r="I136" s="13"/>
      <c r="J136" s="17">
        <f t="shared" si="9"/>
        <v>0</v>
      </c>
      <c r="K136" s="17">
        <f t="shared" si="10"/>
        <v>0</v>
      </c>
      <c r="R136" s="15"/>
    </row>
    <row r="137" ht="15.75" customHeight="1">
      <c r="B137" s="21"/>
      <c r="F137" s="27"/>
      <c r="G137" s="27"/>
      <c r="H137" s="27"/>
      <c r="I137" s="13"/>
      <c r="J137" s="17">
        <f t="shared" si="9"/>
        <v>0</v>
      </c>
      <c r="K137" s="17">
        <f t="shared" si="10"/>
        <v>0</v>
      </c>
      <c r="R137" s="15"/>
    </row>
    <row r="138" ht="15.75" customHeight="1">
      <c r="B138" s="23" t="s">
        <v>33</v>
      </c>
      <c r="C138" s="3"/>
      <c r="F138" s="27"/>
      <c r="G138" s="27"/>
      <c r="H138" s="27"/>
      <c r="I138" s="13"/>
      <c r="J138" s="17">
        <f t="shared" si="9"/>
        <v>0</v>
      </c>
      <c r="K138" s="17">
        <f t="shared" si="10"/>
        <v>0</v>
      </c>
      <c r="R138" s="15"/>
    </row>
    <row r="139" ht="15.75" customHeight="1">
      <c r="B139" s="25"/>
      <c r="C139" s="25"/>
      <c r="R139" s="15"/>
    </row>
    <row r="140" ht="15.75" customHeight="1">
      <c r="B140" s="25" t="s">
        <v>6</v>
      </c>
      <c r="C140" s="31">
        <f>C129*(1-C131)</f>
        <v>16.7775</v>
      </c>
      <c r="R140" s="15"/>
    </row>
    <row r="141" ht="15.75" customHeight="1">
      <c r="B141" s="25" t="s">
        <v>27</v>
      </c>
      <c r="C141" s="31">
        <f>C126*C140</f>
        <v>135.09243</v>
      </c>
      <c r="R141" s="15"/>
    </row>
    <row r="142" ht="15.75" customHeight="1">
      <c r="B142" s="25" t="s">
        <v>34</v>
      </c>
      <c r="C142" s="31">
        <f>((((C125/1000)+0.005)*C134)*(1-C135))*(1+C136)</f>
        <v>0</v>
      </c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9"/>
    </row>
    <row r="143" ht="15.75" customHeight="1"/>
    <row r="144" ht="15.75" customHeight="1">
      <c r="B144" s="4">
        <v>6.0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3"/>
    </row>
    <row r="145" ht="15.75" customHeight="1">
      <c r="B145" s="5" t="s">
        <v>2</v>
      </c>
      <c r="C145" s="6"/>
      <c r="D145" s="3"/>
      <c r="E145" s="7"/>
      <c r="F145" s="8" t="s">
        <v>4</v>
      </c>
      <c r="G145" s="2"/>
      <c r="H145" s="3"/>
      <c r="I145" s="9"/>
      <c r="J145" s="10" t="s">
        <v>5</v>
      </c>
      <c r="K145" s="10" t="s">
        <v>6</v>
      </c>
      <c r="L145" s="11"/>
      <c r="M145" s="7"/>
      <c r="N145" s="7"/>
      <c r="O145" s="7"/>
      <c r="P145" s="7"/>
      <c r="Q145" s="7"/>
      <c r="R145" s="12"/>
    </row>
    <row r="146" ht="15.75" customHeight="1">
      <c r="B146" s="5" t="s">
        <v>7</v>
      </c>
      <c r="C146" s="43" t="s">
        <v>44</v>
      </c>
      <c r="D146" s="3"/>
      <c r="F146" s="13" t="s">
        <v>9</v>
      </c>
      <c r="G146" s="13" t="s">
        <v>10</v>
      </c>
      <c r="H146" s="13" t="s">
        <v>11</v>
      </c>
      <c r="I146" s="9"/>
      <c r="J146" s="13"/>
      <c r="K146" s="13"/>
      <c r="L146" s="14"/>
      <c r="R146" s="15"/>
    </row>
    <row r="147" ht="15.75" customHeight="1">
      <c r="B147" s="5" t="s">
        <v>12</v>
      </c>
      <c r="C147" s="6"/>
      <c r="D147" s="3"/>
      <c r="F147" s="44"/>
      <c r="G147" s="44"/>
      <c r="H147" s="44"/>
      <c r="I147" s="9"/>
      <c r="J147" s="17">
        <f t="shared" ref="J147:J166" si="11">((F147+F147+G147+G147)*H147)/1000</f>
        <v>0</v>
      </c>
      <c r="K147" s="17">
        <f t="shared" ref="K147:K166" si="12">(F147*G147*H147)/1000000</f>
        <v>0</v>
      </c>
      <c r="L147" s="18"/>
      <c r="M147" s="19" t="s">
        <v>14</v>
      </c>
      <c r="N147" s="2"/>
      <c r="O147" s="2"/>
      <c r="P147" s="3"/>
      <c r="Q147" s="20">
        <f>SUM(J147:J166)</f>
        <v>0</v>
      </c>
      <c r="R147" s="15" t="s">
        <v>5</v>
      </c>
    </row>
    <row r="148" ht="15.75" customHeight="1">
      <c r="B148" s="21"/>
      <c r="F148" s="44"/>
      <c r="G148" s="44"/>
      <c r="H148" s="44"/>
      <c r="I148" s="9"/>
      <c r="J148" s="17">
        <f t="shared" si="11"/>
        <v>0</v>
      </c>
      <c r="K148" s="17">
        <f t="shared" si="12"/>
        <v>0</v>
      </c>
      <c r="L148" s="18"/>
      <c r="M148" s="19" t="s">
        <v>15</v>
      </c>
      <c r="N148" s="2"/>
      <c r="O148" s="2"/>
      <c r="P148" s="3"/>
      <c r="Q148" s="22">
        <f>_xlfn.CEILING.MATH(Q147,50,1)</f>
        <v>0</v>
      </c>
      <c r="R148" s="15"/>
    </row>
    <row r="149" ht="15.75" customHeight="1">
      <c r="B149" s="23" t="s">
        <v>16</v>
      </c>
      <c r="C149" s="3"/>
      <c r="F149" s="44"/>
      <c r="G149" s="44"/>
      <c r="H149" s="44"/>
      <c r="I149" s="9"/>
      <c r="J149" s="17">
        <f t="shared" si="11"/>
        <v>0</v>
      </c>
      <c r="K149" s="17">
        <f t="shared" si="12"/>
        <v>0</v>
      </c>
      <c r="L149" s="18"/>
      <c r="M149" s="19" t="s">
        <v>17</v>
      </c>
      <c r="N149" s="2"/>
      <c r="O149" s="2"/>
      <c r="P149" s="3"/>
      <c r="Q149" s="24">
        <f>Q148*C170</f>
        <v>0</v>
      </c>
      <c r="R149" s="15"/>
    </row>
    <row r="150" ht="15.75" customHeight="1">
      <c r="B150" s="25"/>
      <c r="C150" s="25"/>
      <c r="F150" s="44"/>
      <c r="G150" s="44"/>
      <c r="H150" s="44"/>
      <c r="I150" s="9"/>
      <c r="J150" s="17">
        <f t="shared" si="11"/>
        <v>0</v>
      </c>
      <c r="K150" s="17">
        <f t="shared" si="12"/>
        <v>0</v>
      </c>
      <c r="L150" s="18"/>
      <c r="R150" s="15"/>
    </row>
    <row r="151" ht="15.75" customHeight="1">
      <c r="B151" s="25" t="s">
        <v>18</v>
      </c>
      <c r="C151" s="26">
        <v>2800.0</v>
      </c>
      <c r="D151" s="18"/>
      <c r="F151" s="27"/>
      <c r="G151" s="27"/>
      <c r="H151" s="27"/>
      <c r="I151" s="9"/>
      <c r="J151" s="17">
        <f t="shared" si="11"/>
        <v>0</v>
      </c>
      <c r="K151" s="17">
        <f t="shared" si="12"/>
        <v>0</v>
      </c>
      <c r="L151" s="18"/>
      <c r="M151" s="19" t="s">
        <v>19</v>
      </c>
      <c r="N151" s="2"/>
      <c r="O151" s="2"/>
      <c r="P151" s="3"/>
      <c r="Q151" s="20">
        <f>SUM(K147:K166)</f>
        <v>0</v>
      </c>
      <c r="R151" s="15" t="s">
        <v>6</v>
      </c>
    </row>
    <row r="152" ht="15.75" customHeight="1">
      <c r="B152" s="25" t="s">
        <v>20</v>
      </c>
      <c r="C152" s="26">
        <v>2070.0</v>
      </c>
      <c r="D152" s="18"/>
      <c r="F152" s="27"/>
      <c r="G152" s="27"/>
      <c r="H152" s="27"/>
      <c r="I152" s="9"/>
      <c r="J152" s="17">
        <f t="shared" si="11"/>
        <v>0</v>
      </c>
      <c r="K152" s="17">
        <f t="shared" si="12"/>
        <v>0</v>
      </c>
      <c r="L152" s="18"/>
      <c r="M152" s="19" t="s">
        <v>21</v>
      </c>
      <c r="N152" s="2"/>
      <c r="O152" s="2"/>
      <c r="P152" s="3"/>
      <c r="Q152" s="20">
        <f>Q151*(1+C160)</f>
        <v>0</v>
      </c>
      <c r="R152" s="15" t="s">
        <v>6</v>
      </c>
    </row>
    <row r="153" ht="15.75" customHeight="1">
      <c r="B153" s="25" t="s">
        <v>22</v>
      </c>
      <c r="C153" s="26">
        <v>19.0</v>
      </c>
      <c r="D153" s="18"/>
      <c r="F153" s="27"/>
      <c r="G153" s="27"/>
      <c r="H153" s="27"/>
      <c r="I153" s="9"/>
      <c r="J153" s="17">
        <f t="shared" si="11"/>
        <v>0</v>
      </c>
      <c r="K153" s="17">
        <f t="shared" si="12"/>
        <v>0</v>
      </c>
      <c r="L153" s="18"/>
      <c r="R153" s="15"/>
    </row>
    <row r="154" ht="15.75" customHeight="1">
      <c r="B154" s="25" t="s">
        <v>23</v>
      </c>
      <c r="C154" s="17">
        <f>(C151*C152)/1000000</f>
        <v>5.796</v>
      </c>
      <c r="D154" s="28"/>
      <c r="F154" s="27"/>
      <c r="G154" s="27"/>
      <c r="H154" s="27"/>
      <c r="I154" s="13"/>
      <c r="J154" s="17">
        <f t="shared" si="11"/>
        <v>0</v>
      </c>
      <c r="K154" s="17">
        <f t="shared" si="12"/>
        <v>0</v>
      </c>
      <c r="L154" s="18"/>
      <c r="M154" s="19" t="s">
        <v>24</v>
      </c>
      <c r="N154" s="2"/>
      <c r="O154" s="2"/>
      <c r="P154" s="3"/>
      <c r="Q154" s="22">
        <f>_xlfn.CEILING.MATH(Q152/C154,1,1)</f>
        <v>0</v>
      </c>
      <c r="R154" s="15"/>
    </row>
    <row r="155" ht="15.75" customHeight="1">
      <c r="B155" s="21"/>
      <c r="F155" s="27"/>
      <c r="G155" s="27"/>
      <c r="H155" s="27"/>
      <c r="I155" s="13"/>
      <c r="J155" s="17">
        <f t="shared" si="11"/>
        <v>0</v>
      </c>
      <c r="K155" s="17">
        <f t="shared" si="12"/>
        <v>0</v>
      </c>
      <c r="L155" s="18"/>
      <c r="M155" s="19" t="s">
        <v>25</v>
      </c>
      <c r="N155" s="2"/>
      <c r="O155" s="2"/>
      <c r="P155" s="3"/>
      <c r="Q155" s="24">
        <f>Q154*C169</f>
        <v>0</v>
      </c>
      <c r="R155" s="15"/>
    </row>
    <row r="156" ht="15.75" customHeight="1">
      <c r="B156" s="23" t="s">
        <v>26</v>
      </c>
      <c r="C156" s="3"/>
      <c r="F156" s="27"/>
      <c r="G156" s="27"/>
      <c r="H156" s="27"/>
      <c r="I156" s="13"/>
      <c r="J156" s="17">
        <f t="shared" si="11"/>
        <v>0</v>
      </c>
      <c r="K156" s="17">
        <f t="shared" si="12"/>
        <v>0</v>
      </c>
      <c r="L156" s="18"/>
      <c r="R156" s="15"/>
    </row>
    <row r="157" ht="15.75" customHeight="1">
      <c r="B157" s="25" t="s">
        <v>6</v>
      </c>
      <c r="C157" s="29">
        <v>35.0</v>
      </c>
      <c r="D157" s="30"/>
      <c r="F157" s="16"/>
      <c r="G157" s="16"/>
      <c r="H157" s="16"/>
      <c r="I157" s="9"/>
      <c r="J157" s="17">
        <f t="shared" si="11"/>
        <v>0</v>
      </c>
      <c r="K157" s="17">
        <f t="shared" si="12"/>
        <v>0</v>
      </c>
      <c r="R157" s="15"/>
    </row>
    <row r="158" ht="15.75" customHeight="1">
      <c r="B158" s="25" t="s">
        <v>27</v>
      </c>
      <c r="C158" s="31">
        <f>C157*C154</f>
        <v>202.86</v>
      </c>
      <c r="F158" s="16"/>
      <c r="G158" s="16"/>
      <c r="H158" s="16"/>
      <c r="I158" s="9"/>
      <c r="J158" s="17">
        <f t="shared" si="11"/>
        <v>0</v>
      </c>
      <c r="K158" s="17">
        <f t="shared" si="12"/>
        <v>0</v>
      </c>
      <c r="P158" s="32" t="s">
        <v>28</v>
      </c>
      <c r="Q158" s="33"/>
      <c r="R158" s="15"/>
    </row>
    <row r="159" ht="15.75" customHeight="1">
      <c r="B159" s="25" t="s">
        <v>29</v>
      </c>
      <c r="C159" s="34">
        <v>0.45</v>
      </c>
      <c r="F159" s="16"/>
      <c r="G159" s="16"/>
      <c r="H159" s="16"/>
      <c r="I159" s="9"/>
      <c r="J159" s="17">
        <f t="shared" si="11"/>
        <v>0</v>
      </c>
      <c r="K159" s="17">
        <f t="shared" si="12"/>
        <v>0</v>
      </c>
      <c r="P159" s="35">
        <f>Q155+Q149</f>
        <v>0</v>
      </c>
      <c r="Q159" s="36"/>
      <c r="R159" s="15"/>
    </row>
    <row r="160" ht="15.75" customHeight="1">
      <c r="B160" s="25" t="s">
        <v>30</v>
      </c>
      <c r="C160" s="34">
        <v>0.3</v>
      </c>
      <c r="F160" s="16"/>
      <c r="G160" s="16"/>
      <c r="H160" s="16"/>
      <c r="I160" s="9"/>
      <c r="J160" s="17">
        <f t="shared" si="11"/>
        <v>0</v>
      </c>
      <c r="K160" s="17">
        <f t="shared" si="12"/>
        <v>0</v>
      </c>
      <c r="R160" s="15"/>
    </row>
    <row r="161" ht="15.75" customHeight="1">
      <c r="B161" s="23" t="s">
        <v>31</v>
      </c>
      <c r="C161" s="3"/>
      <c r="F161" s="27"/>
      <c r="G161" s="27"/>
      <c r="H161" s="27"/>
      <c r="I161" s="9"/>
      <c r="J161" s="17">
        <f t="shared" si="11"/>
        <v>0</v>
      </c>
      <c r="K161" s="17">
        <f t="shared" si="12"/>
        <v>0</v>
      </c>
      <c r="R161" s="15"/>
    </row>
    <row r="162" ht="15.75" customHeight="1">
      <c r="B162" s="25" t="s">
        <v>32</v>
      </c>
      <c r="C162" s="42">
        <v>48.0</v>
      </c>
      <c r="F162" s="27"/>
      <c r="G162" s="27"/>
      <c r="H162" s="27"/>
      <c r="I162" s="9"/>
      <c r="J162" s="17">
        <f t="shared" si="11"/>
        <v>0</v>
      </c>
      <c r="K162" s="17">
        <f t="shared" si="12"/>
        <v>0</v>
      </c>
      <c r="R162" s="15"/>
    </row>
    <row r="163" ht="15.75" customHeight="1">
      <c r="B163" s="25" t="s">
        <v>29</v>
      </c>
      <c r="C163" s="34">
        <v>0.4</v>
      </c>
      <c r="F163" s="27"/>
      <c r="G163" s="27"/>
      <c r="H163" s="27"/>
      <c r="I163" s="9"/>
      <c r="J163" s="17">
        <f t="shared" si="11"/>
        <v>0</v>
      </c>
      <c r="K163" s="17">
        <f t="shared" si="12"/>
        <v>0</v>
      </c>
      <c r="R163" s="15"/>
    </row>
    <row r="164" ht="15.75" customHeight="1">
      <c r="B164" s="25" t="s">
        <v>30</v>
      </c>
      <c r="C164" s="34">
        <v>0.1</v>
      </c>
      <c r="F164" s="27"/>
      <c r="G164" s="27"/>
      <c r="H164" s="27"/>
      <c r="I164" s="13"/>
      <c r="J164" s="17">
        <f t="shared" si="11"/>
        <v>0</v>
      </c>
      <c r="K164" s="17">
        <f t="shared" si="12"/>
        <v>0</v>
      </c>
      <c r="R164" s="15"/>
    </row>
    <row r="165" ht="15.75" customHeight="1">
      <c r="B165" s="21"/>
      <c r="F165" s="27"/>
      <c r="G165" s="27"/>
      <c r="H165" s="27"/>
      <c r="I165" s="13"/>
      <c r="J165" s="17">
        <f t="shared" si="11"/>
        <v>0</v>
      </c>
      <c r="K165" s="17">
        <f t="shared" si="12"/>
        <v>0</v>
      </c>
      <c r="R165" s="15"/>
    </row>
    <row r="166" ht="15.75" customHeight="1">
      <c r="B166" s="23" t="s">
        <v>33</v>
      </c>
      <c r="C166" s="3"/>
      <c r="F166" s="27"/>
      <c r="G166" s="27"/>
      <c r="H166" s="27"/>
      <c r="I166" s="13"/>
      <c r="J166" s="17">
        <f t="shared" si="11"/>
        <v>0</v>
      </c>
      <c r="K166" s="17">
        <f t="shared" si="12"/>
        <v>0</v>
      </c>
      <c r="R166" s="15"/>
    </row>
    <row r="167" ht="15.75" customHeight="1">
      <c r="B167" s="25"/>
      <c r="C167" s="25"/>
      <c r="R167" s="15"/>
    </row>
    <row r="168" ht="15.75" customHeight="1">
      <c r="B168" s="25" t="s">
        <v>6</v>
      </c>
      <c r="C168" s="31">
        <f>C157*(1-C159)</f>
        <v>19.25</v>
      </c>
      <c r="R168" s="15"/>
    </row>
    <row r="169" ht="15.75" customHeight="1">
      <c r="B169" s="25" t="s">
        <v>27</v>
      </c>
      <c r="C169" s="31">
        <f>C154*C168</f>
        <v>111.573</v>
      </c>
      <c r="R169" s="15"/>
    </row>
    <row r="170" ht="15.75" customHeight="1">
      <c r="B170" s="25" t="s">
        <v>34</v>
      </c>
      <c r="C170" s="31">
        <f>((((C153/1000)+0.005)*C162)*(1-C163))*(1+C164)</f>
        <v>0.76032</v>
      </c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9"/>
    </row>
    <row r="171" ht="15.75" customHeight="1"/>
    <row r="172" ht="15.75" customHeight="1">
      <c r="B172" s="4">
        <v>7.0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3"/>
    </row>
    <row r="173" ht="15.75" customHeight="1">
      <c r="B173" s="5" t="s">
        <v>2</v>
      </c>
      <c r="C173" s="6"/>
      <c r="D173" s="3"/>
      <c r="E173" s="7"/>
      <c r="F173" s="8" t="s">
        <v>4</v>
      </c>
      <c r="G173" s="2"/>
      <c r="H173" s="3"/>
      <c r="I173" s="9"/>
      <c r="J173" s="10" t="s">
        <v>5</v>
      </c>
      <c r="K173" s="10" t="s">
        <v>6</v>
      </c>
      <c r="L173" s="11"/>
      <c r="M173" s="7"/>
      <c r="N173" s="7"/>
      <c r="O173" s="7"/>
      <c r="P173" s="7"/>
      <c r="Q173" s="7"/>
      <c r="R173" s="12"/>
    </row>
    <row r="174" ht="15.75" customHeight="1">
      <c r="B174" s="5" t="s">
        <v>7</v>
      </c>
      <c r="C174" s="43" t="s">
        <v>45</v>
      </c>
      <c r="D174" s="3"/>
      <c r="F174" s="13" t="s">
        <v>9</v>
      </c>
      <c r="G174" s="13" t="s">
        <v>10</v>
      </c>
      <c r="H174" s="13" t="s">
        <v>11</v>
      </c>
      <c r="I174" s="9"/>
      <c r="J174" s="13"/>
      <c r="K174" s="13"/>
      <c r="L174" s="14"/>
      <c r="R174" s="15"/>
    </row>
    <row r="175" ht="15.75" customHeight="1">
      <c r="B175" s="5" t="s">
        <v>12</v>
      </c>
      <c r="C175" s="6"/>
      <c r="D175" s="3"/>
      <c r="F175" s="44"/>
      <c r="G175" s="44"/>
      <c r="H175" s="44"/>
      <c r="I175" s="9"/>
      <c r="J175" s="17">
        <f t="shared" ref="J175:J194" si="13">((F175+F175+G175+G175)*H175)/1000</f>
        <v>0</v>
      </c>
      <c r="K175" s="17">
        <f t="shared" ref="K175:K194" si="14">(F175*G175*H175)/1000000</f>
        <v>0</v>
      </c>
      <c r="L175" s="18"/>
      <c r="M175" s="19" t="s">
        <v>14</v>
      </c>
      <c r="N175" s="2"/>
      <c r="O175" s="2"/>
      <c r="P175" s="3"/>
      <c r="Q175" s="20">
        <f>SUM(J175:J194)</f>
        <v>0</v>
      </c>
      <c r="R175" s="15" t="s">
        <v>5</v>
      </c>
    </row>
    <row r="176" ht="15.75" customHeight="1">
      <c r="B176" s="21"/>
      <c r="F176" s="44"/>
      <c r="G176" s="44"/>
      <c r="H176" s="44"/>
      <c r="I176" s="9"/>
      <c r="J176" s="17">
        <f t="shared" si="13"/>
        <v>0</v>
      </c>
      <c r="K176" s="17">
        <f t="shared" si="14"/>
        <v>0</v>
      </c>
      <c r="L176" s="18"/>
      <c r="M176" s="19" t="s">
        <v>15</v>
      </c>
      <c r="N176" s="2"/>
      <c r="O176" s="2"/>
      <c r="P176" s="3"/>
      <c r="Q176" s="22">
        <f>_xlfn.CEILING.MATH(Q175,50,1)</f>
        <v>0</v>
      </c>
      <c r="R176" s="15"/>
    </row>
    <row r="177" ht="15.75" customHeight="1">
      <c r="B177" s="23" t="s">
        <v>16</v>
      </c>
      <c r="C177" s="3"/>
      <c r="F177" s="44"/>
      <c r="G177" s="44"/>
      <c r="H177" s="44"/>
      <c r="I177" s="9"/>
      <c r="J177" s="17">
        <f t="shared" si="13"/>
        <v>0</v>
      </c>
      <c r="K177" s="17">
        <f t="shared" si="14"/>
        <v>0</v>
      </c>
      <c r="L177" s="18"/>
      <c r="M177" s="19" t="s">
        <v>17</v>
      </c>
      <c r="N177" s="2"/>
      <c r="O177" s="2"/>
      <c r="P177" s="3"/>
      <c r="Q177" s="24">
        <f>Q176*C198</f>
        <v>0</v>
      </c>
      <c r="R177" s="15"/>
    </row>
    <row r="178" ht="15.75" customHeight="1">
      <c r="B178" s="25"/>
      <c r="C178" s="25"/>
      <c r="F178" s="44"/>
      <c r="G178" s="44"/>
      <c r="H178" s="44"/>
      <c r="I178" s="9"/>
      <c r="J178" s="17">
        <f t="shared" si="13"/>
        <v>0</v>
      </c>
      <c r="K178" s="17">
        <f t="shared" si="14"/>
        <v>0</v>
      </c>
      <c r="L178" s="18"/>
      <c r="R178" s="15"/>
    </row>
    <row r="179" ht="15.75" customHeight="1">
      <c r="B179" s="25" t="s">
        <v>18</v>
      </c>
      <c r="C179" s="26">
        <v>2800.0</v>
      </c>
      <c r="D179" s="18"/>
      <c r="F179" s="27"/>
      <c r="G179" s="27"/>
      <c r="H179" s="27"/>
      <c r="I179" s="9"/>
      <c r="J179" s="17">
        <f t="shared" si="13"/>
        <v>0</v>
      </c>
      <c r="K179" s="17">
        <f t="shared" si="14"/>
        <v>0</v>
      </c>
      <c r="L179" s="18"/>
      <c r="M179" s="19" t="s">
        <v>19</v>
      </c>
      <c r="N179" s="2"/>
      <c r="O179" s="2"/>
      <c r="P179" s="3"/>
      <c r="Q179" s="20">
        <f>SUM(K175:K194)</f>
        <v>0</v>
      </c>
      <c r="R179" s="15" t="s">
        <v>6</v>
      </c>
    </row>
    <row r="180" ht="15.75" customHeight="1">
      <c r="B180" s="25" t="s">
        <v>20</v>
      </c>
      <c r="C180" s="26">
        <v>2070.0</v>
      </c>
      <c r="D180" s="18"/>
      <c r="F180" s="27"/>
      <c r="G180" s="27"/>
      <c r="H180" s="27"/>
      <c r="I180" s="9"/>
      <c r="J180" s="17">
        <f t="shared" si="13"/>
        <v>0</v>
      </c>
      <c r="K180" s="17">
        <f t="shared" si="14"/>
        <v>0</v>
      </c>
      <c r="L180" s="18"/>
      <c r="M180" s="19" t="s">
        <v>21</v>
      </c>
      <c r="N180" s="2"/>
      <c r="O180" s="2"/>
      <c r="P180" s="3"/>
      <c r="Q180" s="20">
        <f>Q179*(1+C188)</f>
        <v>0</v>
      </c>
      <c r="R180" s="15" t="s">
        <v>6</v>
      </c>
    </row>
    <row r="181" ht="15.75" customHeight="1">
      <c r="B181" s="25" t="s">
        <v>22</v>
      </c>
      <c r="C181" s="26">
        <v>19.0</v>
      </c>
      <c r="D181" s="18"/>
      <c r="F181" s="27"/>
      <c r="G181" s="27"/>
      <c r="H181" s="27"/>
      <c r="I181" s="9"/>
      <c r="J181" s="17">
        <f t="shared" si="13"/>
        <v>0</v>
      </c>
      <c r="K181" s="17">
        <f t="shared" si="14"/>
        <v>0</v>
      </c>
      <c r="L181" s="18"/>
      <c r="R181" s="15"/>
    </row>
    <row r="182" ht="15.75" customHeight="1">
      <c r="B182" s="25" t="s">
        <v>23</v>
      </c>
      <c r="C182" s="17">
        <f>(C179*C180)/1000000</f>
        <v>5.796</v>
      </c>
      <c r="D182" s="28"/>
      <c r="F182" s="27"/>
      <c r="G182" s="27"/>
      <c r="H182" s="27"/>
      <c r="I182" s="13"/>
      <c r="J182" s="17">
        <f t="shared" si="13"/>
        <v>0</v>
      </c>
      <c r="K182" s="17">
        <f t="shared" si="14"/>
        <v>0</v>
      </c>
      <c r="L182" s="18"/>
      <c r="M182" s="19" t="s">
        <v>24</v>
      </c>
      <c r="N182" s="2"/>
      <c r="O182" s="2"/>
      <c r="P182" s="3"/>
      <c r="Q182" s="22">
        <f>_xlfn.CEILING.MATH(Q180/C182,1,1)</f>
        <v>0</v>
      </c>
      <c r="R182" s="15"/>
    </row>
    <row r="183" ht="15.75" customHeight="1">
      <c r="B183" s="21"/>
      <c r="F183" s="27"/>
      <c r="G183" s="27"/>
      <c r="H183" s="27"/>
      <c r="I183" s="13"/>
      <c r="J183" s="17">
        <f t="shared" si="13"/>
        <v>0</v>
      </c>
      <c r="K183" s="17">
        <f t="shared" si="14"/>
        <v>0</v>
      </c>
      <c r="L183" s="18"/>
      <c r="M183" s="19" t="s">
        <v>25</v>
      </c>
      <c r="N183" s="2"/>
      <c r="O183" s="2"/>
      <c r="P183" s="3"/>
      <c r="Q183" s="24">
        <f>Q182*C197</f>
        <v>0</v>
      </c>
      <c r="R183" s="15"/>
    </row>
    <row r="184" ht="15.75" customHeight="1">
      <c r="B184" s="23" t="s">
        <v>26</v>
      </c>
      <c r="C184" s="3"/>
      <c r="F184" s="27"/>
      <c r="G184" s="27"/>
      <c r="H184" s="27"/>
      <c r="I184" s="13"/>
      <c r="J184" s="17">
        <f t="shared" si="13"/>
        <v>0</v>
      </c>
      <c r="K184" s="17">
        <f t="shared" si="14"/>
        <v>0</v>
      </c>
      <c r="L184" s="18"/>
      <c r="R184" s="15"/>
    </row>
    <row r="185" ht="15.75" customHeight="1">
      <c r="B185" s="25" t="s">
        <v>6</v>
      </c>
      <c r="C185" s="29">
        <v>40.0</v>
      </c>
      <c r="D185" s="30"/>
      <c r="F185" s="16"/>
      <c r="G185" s="16"/>
      <c r="H185" s="16"/>
      <c r="I185" s="9"/>
      <c r="J185" s="17">
        <f t="shared" si="13"/>
        <v>0</v>
      </c>
      <c r="K185" s="17">
        <f t="shared" si="14"/>
        <v>0</v>
      </c>
      <c r="R185" s="15"/>
    </row>
    <row r="186" ht="15.75" customHeight="1">
      <c r="B186" s="25" t="s">
        <v>27</v>
      </c>
      <c r="C186" s="31">
        <f>C185*C182</f>
        <v>231.84</v>
      </c>
      <c r="F186" s="16"/>
      <c r="G186" s="16"/>
      <c r="H186" s="16"/>
      <c r="I186" s="9"/>
      <c r="J186" s="17">
        <f t="shared" si="13"/>
        <v>0</v>
      </c>
      <c r="K186" s="17">
        <f t="shared" si="14"/>
        <v>0</v>
      </c>
      <c r="P186" s="32" t="s">
        <v>28</v>
      </c>
      <c r="Q186" s="33"/>
      <c r="R186" s="15"/>
    </row>
    <row r="187" ht="15.75" customHeight="1">
      <c r="B187" s="25" t="s">
        <v>29</v>
      </c>
      <c r="C187" s="34">
        <v>0.45</v>
      </c>
      <c r="F187" s="16"/>
      <c r="G187" s="16"/>
      <c r="H187" s="16"/>
      <c r="I187" s="9"/>
      <c r="J187" s="17">
        <f t="shared" si="13"/>
        <v>0</v>
      </c>
      <c r="K187" s="17">
        <f t="shared" si="14"/>
        <v>0</v>
      </c>
      <c r="P187" s="35">
        <f>Q183+Q177</f>
        <v>0</v>
      </c>
      <c r="Q187" s="36"/>
      <c r="R187" s="15"/>
    </row>
    <row r="188" ht="15.75" customHeight="1">
      <c r="B188" s="25" t="s">
        <v>30</v>
      </c>
      <c r="C188" s="34">
        <v>0.3</v>
      </c>
      <c r="F188" s="16"/>
      <c r="G188" s="16"/>
      <c r="H188" s="16"/>
      <c r="I188" s="9"/>
      <c r="J188" s="17">
        <f t="shared" si="13"/>
        <v>0</v>
      </c>
      <c r="K188" s="17">
        <f t="shared" si="14"/>
        <v>0</v>
      </c>
      <c r="R188" s="15"/>
    </row>
    <row r="189" ht="15.75" customHeight="1">
      <c r="B189" s="23" t="s">
        <v>31</v>
      </c>
      <c r="C189" s="3"/>
      <c r="F189" s="27"/>
      <c r="G189" s="27"/>
      <c r="H189" s="27"/>
      <c r="I189" s="9"/>
      <c r="J189" s="17">
        <f t="shared" si="13"/>
        <v>0</v>
      </c>
      <c r="K189" s="17">
        <f t="shared" si="14"/>
        <v>0</v>
      </c>
      <c r="R189" s="15"/>
    </row>
    <row r="190" ht="15.75" customHeight="1">
      <c r="B190" s="25" t="s">
        <v>32</v>
      </c>
      <c r="C190" s="42">
        <v>48.0</v>
      </c>
      <c r="F190" s="27"/>
      <c r="G190" s="27"/>
      <c r="H190" s="27"/>
      <c r="I190" s="9"/>
      <c r="J190" s="17">
        <f t="shared" si="13"/>
        <v>0</v>
      </c>
      <c r="K190" s="17">
        <f t="shared" si="14"/>
        <v>0</v>
      </c>
      <c r="R190" s="15"/>
    </row>
    <row r="191" ht="15.75" customHeight="1">
      <c r="B191" s="25" t="s">
        <v>29</v>
      </c>
      <c r="C191" s="34">
        <v>0.4</v>
      </c>
      <c r="F191" s="27"/>
      <c r="G191" s="27"/>
      <c r="H191" s="27"/>
      <c r="I191" s="9"/>
      <c r="J191" s="17">
        <f t="shared" si="13"/>
        <v>0</v>
      </c>
      <c r="K191" s="17">
        <f t="shared" si="14"/>
        <v>0</v>
      </c>
      <c r="R191" s="15"/>
    </row>
    <row r="192" ht="15.75" customHeight="1">
      <c r="B192" s="25" t="s">
        <v>30</v>
      </c>
      <c r="C192" s="34">
        <v>0.1</v>
      </c>
      <c r="F192" s="27"/>
      <c r="G192" s="27"/>
      <c r="H192" s="27"/>
      <c r="I192" s="13"/>
      <c r="J192" s="17">
        <f t="shared" si="13"/>
        <v>0</v>
      </c>
      <c r="K192" s="17">
        <f t="shared" si="14"/>
        <v>0</v>
      </c>
      <c r="R192" s="15"/>
    </row>
    <row r="193" ht="15.75" customHeight="1">
      <c r="B193" s="21"/>
      <c r="F193" s="27"/>
      <c r="G193" s="27"/>
      <c r="H193" s="27"/>
      <c r="I193" s="13"/>
      <c r="J193" s="17">
        <f t="shared" si="13"/>
        <v>0</v>
      </c>
      <c r="K193" s="17">
        <f t="shared" si="14"/>
        <v>0</v>
      </c>
      <c r="R193" s="15"/>
    </row>
    <row r="194" ht="15.75" customHeight="1">
      <c r="B194" s="23" t="s">
        <v>33</v>
      </c>
      <c r="C194" s="3"/>
      <c r="F194" s="27"/>
      <c r="G194" s="27"/>
      <c r="H194" s="27"/>
      <c r="I194" s="13"/>
      <c r="J194" s="17">
        <f t="shared" si="13"/>
        <v>0</v>
      </c>
      <c r="K194" s="17">
        <f t="shared" si="14"/>
        <v>0</v>
      </c>
      <c r="R194" s="15"/>
    </row>
    <row r="195" ht="15.75" customHeight="1">
      <c r="B195" s="25"/>
      <c r="C195" s="25"/>
      <c r="R195" s="15"/>
    </row>
    <row r="196" ht="15.75" customHeight="1">
      <c r="B196" s="25" t="s">
        <v>6</v>
      </c>
      <c r="C196" s="31">
        <f>C185*(1-C187)</f>
        <v>22</v>
      </c>
      <c r="R196" s="15"/>
    </row>
    <row r="197" ht="15.75" customHeight="1">
      <c r="B197" s="25" t="s">
        <v>27</v>
      </c>
      <c r="C197" s="31">
        <f>C182*C196</f>
        <v>127.512</v>
      </c>
      <c r="R197" s="15"/>
    </row>
    <row r="198" ht="15.75" customHeight="1">
      <c r="B198" s="25" t="s">
        <v>34</v>
      </c>
      <c r="C198" s="31">
        <f>((((C181/1000)+0.005)*C190)*(1-C191))*(1+C192)</f>
        <v>0.76032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9"/>
    </row>
    <row r="199" ht="15.75" customHeight="1"/>
    <row r="200" ht="15.75" customHeight="1">
      <c r="B200" s="4">
        <v>8.0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3"/>
    </row>
    <row r="201" ht="15.75" customHeight="1">
      <c r="B201" s="5" t="s">
        <v>2</v>
      </c>
      <c r="C201" s="6"/>
      <c r="D201" s="3"/>
      <c r="E201" s="7"/>
      <c r="F201" s="8" t="s">
        <v>4</v>
      </c>
      <c r="G201" s="2"/>
      <c r="H201" s="3"/>
      <c r="I201" s="9"/>
      <c r="J201" s="10" t="s">
        <v>5</v>
      </c>
      <c r="K201" s="10" t="s">
        <v>6</v>
      </c>
      <c r="L201" s="11"/>
      <c r="M201" s="7"/>
      <c r="N201" s="7"/>
      <c r="O201" s="7"/>
      <c r="P201" s="7"/>
      <c r="Q201" s="7"/>
      <c r="R201" s="12"/>
    </row>
    <row r="202" ht="15.75" customHeight="1">
      <c r="B202" s="5" t="s">
        <v>7</v>
      </c>
      <c r="C202" s="43" t="s">
        <v>46</v>
      </c>
      <c r="D202" s="3"/>
      <c r="F202" s="13" t="s">
        <v>9</v>
      </c>
      <c r="G202" s="13" t="s">
        <v>10</v>
      </c>
      <c r="H202" s="13" t="s">
        <v>11</v>
      </c>
      <c r="I202" s="9"/>
      <c r="J202" s="13"/>
      <c r="K202" s="13"/>
      <c r="L202" s="14"/>
      <c r="R202" s="15"/>
    </row>
    <row r="203" ht="15.75" customHeight="1">
      <c r="B203" s="5" t="s">
        <v>12</v>
      </c>
      <c r="C203" s="6"/>
      <c r="D203" s="3"/>
      <c r="F203" s="44"/>
      <c r="G203" s="44"/>
      <c r="H203" s="44"/>
      <c r="I203" s="9"/>
      <c r="J203" s="17">
        <f t="shared" ref="J203:J222" si="15">((F203+F203+G203+G203)*H203)/1000</f>
        <v>0</v>
      </c>
      <c r="K203" s="17">
        <f t="shared" ref="K203:K222" si="16">(F203*G203*H203)/1000000</f>
        <v>0</v>
      </c>
      <c r="L203" s="18"/>
      <c r="M203" s="19" t="s">
        <v>14</v>
      </c>
      <c r="N203" s="2"/>
      <c r="O203" s="2"/>
      <c r="P203" s="3"/>
      <c r="Q203" s="20">
        <f>SUM(J203:J222)</f>
        <v>0</v>
      </c>
      <c r="R203" s="15" t="s">
        <v>5</v>
      </c>
    </row>
    <row r="204" ht="15.75" customHeight="1">
      <c r="B204" s="21"/>
      <c r="F204" s="44"/>
      <c r="G204" s="44"/>
      <c r="H204" s="44"/>
      <c r="I204" s="9"/>
      <c r="J204" s="17">
        <f t="shared" si="15"/>
        <v>0</v>
      </c>
      <c r="K204" s="17">
        <f t="shared" si="16"/>
        <v>0</v>
      </c>
      <c r="L204" s="18"/>
      <c r="M204" s="19" t="s">
        <v>15</v>
      </c>
      <c r="N204" s="2"/>
      <c r="O204" s="2"/>
      <c r="P204" s="3"/>
      <c r="Q204" s="22">
        <f>_xlfn.CEILING.MATH(Q203,50,1)</f>
        <v>0</v>
      </c>
      <c r="R204" s="15"/>
    </row>
    <row r="205" ht="15.75" customHeight="1">
      <c r="B205" s="23" t="s">
        <v>16</v>
      </c>
      <c r="C205" s="3"/>
      <c r="F205" s="44"/>
      <c r="G205" s="44"/>
      <c r="H205" s="44"/>
      <c r="I205" s="9"/>
      <c r="J205" s="17">
        <f t="shared" si="15"/>
        <v>0</v>
      </c>
      <c r="K205" s="17">
        <f t="shared" si="16"/>
        <v>0</v>
      </c>
      <c r="L205" s="18"/>
      <c r="M205" s="19" t="s">
        <v>17</v>
      </c>
      <c r="N205" s="2"/>
      <c r="O205" s="2"/>
      <c r="P205" s="3"/>
      <c r="Q205" s="24">
        <f>Q204*C226</f>
        <v>0</v>
      </c>
      <c r="R205" s="15"/>
    </row>
    <row r="206" ht="15.75" customHeight="1">
      <c r="B206" s="25"/>
      <c r="C206" s="25"/>
      <c r="F206" s="16"/>
      <c r="G206" s="16"/>
      <c r="H206" s="16"/>
      <c r="I206" s="9"/>
      <c r="J206" s="17">
        <f t="shared" si="15"/>
        <v>0</v>
      </c>
      <c r="K206" s="17">
        <f t="shared" si="16"/>
        <v>0</v>
      </c>
      <c r="L206" s="18"/>
      <c r="R206" s="15"/>
    </row>
    <row r="207" ht="15.75" customHeight="1">
      <c r="B207" s="25" t="s">
        <v>18</v>
      </c>
      <c r="C207" s="26">
        <v>2800.0</v>
      </c>
      <c r="D207" s="18"/>
      <c r="F207" s="27"/>
      <c r="G207" s="27"/>
      <c r="H207" s="27"/>
      <c r="I207" s="9"/>
      <c r="J207" s="17">
        <f t="shared" si="15"/>
        <v>0</v>
      </c>
      <c r="K207" s="17">
        <f t="shared" si="16"/>
        <v>0</v>
      </c>
      <c r="L207" s="18"/>
      <c r="M207" s="19" t="s">
        <v>19</v>
      </c>
      <c r="N207" s="2"/>
      <c r="O207" s="2"/>
      <c r="P207" s="3"/>
      <c r="Q207" s="20">
        <f>SUM(K203:K222)</f>
        <v>0</v>
      </c>
      <c r="R207" s="15" t="s">
        <v>6</v>
      </c>
    </row>
    <row r="208" ht="15.75" customHeight="1">
      <c r="B208" s="25" t="s">
        <v>20</v>
      </c>
      <c r="C208" s="26">
        <v>2070.0</v>
      </c>
      <c r="D208" s="18"/>
      <c r="F208" s="27"/>
      <c r="G208" s="27"/>
      <c r="H208" s="27"/>
      <c r="I208" s="9"/>
      <c r="J208" s="17">
        <f t="shared" si="15"/>
        <v>0</v>
      </c>
      <c r="K208" s="17">
        <f t="shared" si="16"/>
        <v>0</v>
      </c>
      <c r="L208" s="18"/>
      <c r="M208" s="19" t="s">
        <v>21</v>
      </c>
      <c r="N208" s="2"/>
      <c r="O208" s="2"/>
      <c r="P208" s="3"/>
      <c r="Q208" s="20">
        <f>Q207*(1+C216)</f>
        <v>0</v>
      </c>
      <c r="R208" s="15" t="s">
        <v>6</v>
      </c>
    </row>
    <row r="209" ht="15.75" customHeight="1">
      <c r="B209" s="25" t="s">
        <v>22</v>
      </c>
      <c r="C209" s="26">
        <v>19.0</v>
      </c>
      <c r="D209" s="18"/>
      <c r="F209" s="27"/>
      <c r="G209" s="27"/>
      <c r="H209" s="27"/>
      <c r="I209" s="9"/>
      <c r="J209" s="17">
        <f t="shared" si="15"/>
        <v>0</v>
      </c>
      <c r="K209" s="17">
        <f t="shared" si="16"/>
        <v>0</v>
      </c>
      <c r="L209" s="18"/>
      <c r="R209" s="15"/>
    </row>
    <row r="210" ht="15.75" customHeight="1">
      <c r="B210" s="25" t="s">
        <v>23</v>
      </c>
      <c r="C210" s="17">
        <f>(C207*C208)/1000000</f>
        <v>5.796</v>
      </c>
      <c r="D210" s="28"/>
      <c r="F210" s="27"/>
      <c r="G210" s="27"/>
      <c r="H210" s="27"/>
      <c r="I210" s="13"/>
      <c r="J210" s="17">
        <f t="shared" si="15"/>
        <v>0</v>
      </c>
      <c r="K210" s="17">
        <f t="shared" si="16"/>
        <v>0</v>
      </c>
      <c r="L210" s="18"/>
      <c r="M210" s="19" t="s">
        <v>24</v>
      </c>
      <c r="N210" s="2"/>
      <c r="O210" s="2"/>
      <c r="P210" s="3"/>
      <c r="Q210" s="22">
        <f>_xlfn.CEILING.MATH(Q208/C210,1,1)</f>
        <v>0</v>
      </c>
      <c r="R210" s="15"/>
    </row>
    <row r="211" ht="15.75" customHeight="1">
      <c r="B211" s="21"/>
      <c r="F211" s="27"/>
      <c r="G211" s="27"/>
      <c r="H211" s="27"/>
      <c r="I211" s="13"/>
      <c r="J211" s="17">
        <f t="shared" si="15"/>
        <v>0</v>
      </c>
      <c r="K211" s="17">
        <f t="shared" si="16"/>
        <v>0</v>
      </c>
      <c r="L211" s="18"/>
      <c r="M211" s="19" t="s">
        <v>25</v>
      </c>
      <c r="N211" s="2"/>
      <c r="O211" s="2"/>
      <c r="P211" s="3"/>
      <c r="Q211" s="24">
        <f>Q210*C225</f>
        <v>0</v>
      </c>
      <c r="R211" s="15"/>
    </row>
    <row r="212" ht="15.75" customHeight="1">
      <c r="B212" s="23" t="s">
        <v>26</v>
      </c>
      <c r="C212" s="3"/>
      <c r="F212" s="27"/>
      <c r="G212" s="27"/>
      <c r="H212" s="27"/>
      <c r="I212" s="13"/>
      <c r="J212" s="17">
        <f t="shared" si="15"/>
        <v>0</v>
      </c>
      <c r="K212" s="17">
        <f t="shared" si="16"/>
        <v>0</v>
      </c>
      <c r="L212" s="18"/>
      <c r="R212" s="15"/>
    </row>
    <row r="213" ht="15.75" customHeight="1">
      <c r="B213" s="25" t="s">
        <v>6</v>
      </c>
      <c r="C213" s="29">
        <v>30.0</v>
      </c>
      <c r="D213" s="30"/>
      <c r="F213" s="16"/>
      <c r="G213" s="16"/>
      <c r="H213" s="16"/>
      <c r="I213" s="9"/>
      <c r="J213" s="17">
        <f t="shared" si="15"/>
        <v>0</v>
      </c>
      <c r="K213" s="17">
        <f t="shared" si="16"/>
        <v>0</v>
      </c>
      <c r="R213" s="15"/>
    </row>
    <row r="214" ht="15.75" customHeight="1">
      <c r="B214" s="25" t="s">
        <v>27</v>
      </c>
      <c r="C214" s="31">
        <f>C213*C210</f>
        <v>173.88</v>
      </c>
      <c r="F214" s="16"/>
      <c r="G214" s="16"/>
      <c r="H214" s="16"/>
      <c r="I214" s="9"/>
      <c r="J214" s="17">
        <f t="shared" si="15"/>
        <v>0</v>
      </c>
      <c r="K214" s="17">
        <f t="shared" si="16"/>
        <v>0</v>
      </c>
      <c r="P214" s="32" t="s">
        <v>28</v>
      </c>
      <c r="Q214" s="33"/>
      <c r="R214" s="15"/>
    </row>
    <row r="215" ht="15.75" customHeight="1">
      <c r="B215" s="25" t="s">
        <v>29</v>
      </c>
      <c r="C215" s="34">
        <v>0.45</v>
      </c>
      <c r="F215" s="16"/>
      <c r="G215" s="16"/>
      <c r="H215" s="16"/>
      <c r="I215" s="9"/>
      <c r="J215" s="17">
        <f t="shared" si="15"/>
        <v>0</v>
      </c>
      <c r="K215" s="17">
        <f t="shared" si="16"/>
        <v>0</v>
      </c>
      <c r="P215" s="35">
        <f>Q211+Q205</f>
        <v>0</v>
      </c>
      <c r="Q215" s="36"/>
      <c r="R215" s="15"/>
    </row>
    <row r="216" ht="15.75" customHeight="1">
      <c r="B216" s="25" t="s">
        <v>30</v>
      </c>
      <c r="C216" s="34">
        <v>0.3</v>
      </c>
      <c r="F216" s="16"/>
      <c r="G216" s="16"/>
      <c r="H216" s="16"/>
      <c r="I216" s="9"/>
      <c r="J216" s="17">
        <f t="shared" si="15"/>
        <v>0</v>
      </c>
      <c r="K216" s="17">
        <f t="shared" si="16"/>
        <v>0</v>
      </c>
      <c r="R216" s="15"/>
    </row>
    <row r="217" ht="15.75" customHeight="1">
      <c r="B217" s="23" t="s">
        <v>31</v>
      </c>
      <c r="C217" s="3"/>
      <c r="F217" s="27"/>
      <c r="G217" s="27"/>
      <c r="H217" s="27"/>
      <c r="I217" s="9"/>
      <c r="J217" s="17">
        <f t="shared" si="15"/>
        <v>0</v>
      </c>
      <c r="K217" s="17">
        <f t="shared" si="16"/>
        <v>0</v>
      </c>
      <c r="R217" s="15"/>
    </row>
    <row r="218" ht="15.75" customHeight="1">
      <c r="B218" s="25" t="s">
        <v>32</v>
      </c>
      <c r="C218" s="42">
        <v>0.0</v>
      </c>
      <c r="F218" s="27"/>
      <c r="G218" s="27"/>
      <c r="H218" s="27"/>
      <c r="I218" s="9"/>
      <c r="J218" s="17">
        <f t="shared" si="15"/>
        <v>0</v>
      </c>
      <c r="K218" s="17">
        <f t="shared" si="16"/>
        <v>0</v>
      </c>
      <c r="R218" s="15"/>
    </row>
    <row r="219" ht="15.75" customHeight="1">
      <c r="B219" s="25" t="s">
        <v>29</v>
      </c>
      <c r="C219" s="34">
        <v>0.4</v>
      </c>
      <c r="F219" s="27"/>
      <c r="G219" s="27"/>
      <c r="H219" s="27"/>
      <c r="I219" s="9"/>
      <c r="J219" s="17">
        <f t="shared" si="15"/>
        <v>0</v>
      </c>
      <c r="K219" s="17">
        <f t="shared" si="16"/>
        <v>0</v>
      </c>
      <c r="R219" s="15"/>
    </row>
    <row r="220" ht="15.75" customHeight="1">
      <c r="B220" s="25" t="s">
        <v>30</v>
      </c>
      <c r="C220" s="34">
        <v>0.1</v>
      </c>
      <c r="F220" s="27"/>
      <c r="G220" s="27"/>
      <c r="H220" s="27"/>
      <c r="I220" s="13"/>
      <c r="J220" s="17">
        <f t="shared" si="15"/>
        <v>0</v>
      </c>
      <c r="K220" s="17">
        <f t="shared" si="16"/>
        <v>0</v>
      </c>
      <c r="R220" s="15"/>
    </row>
    <row r="221" ht="15.75" customHeight="1">
      <c r="B221" s="21"/>
      <c r="F221" s="27"/>
      <c r="G221" s="27"/>
      <c r="H221" s="27"/>
      <c r="I221" s="13"/>
      <c r="J221" s="17">
        <f t="shared" si="15"/>
        <v>0</v>
      </c>
      <c r="K221" s="17">
        <f t="shared" si="16"/>
        <v>0</v>
      </c>
      <c r="R221" s="15"/>
    </row>
    <row r="222" ht="15.75" customHeight="1">
      <c r="B222" s="23" t="s">
        <v>33</v>
      </c>
      <c r="C222" s="3"/>
      <c r="F222" s="27"/>
      <c r="G222" s="27"/>
      <c r="H222" s="27"/>
      <c r="I222" s="13"/>
      <c r="J222" s="17">
        <f t="shared" si="15"/>
        <v>0</v>
      </c>
      <c r="K222" s="17">
        <f t="shared" si="16"/>
        <v>0</v>
      </c>
      <c r="R222" s="15"/>
    </row>
    <row r="223" ht="15.75" customHeight="1">
      <c r="B223" s="25"/>
      <c r="C223" s="25"/>
      <c r="R223" s="15"/>
    </row>
    <row r="224" ht="15.75" customHeight="1">
      <c r="B224" s="25" t="s">
        <v>6</v>
      </c>
      <c r="C224" s="31">
        <f>C213*(1-C215)</f>
        <v>16.5</v>
      </c>
      <c r="R224" s="15"/>
    </row>
    <row r="225" ht="15.75" customHeight="1">
      <c r="B225" s="25" t="s">
        <v>27</v>
      </c>
      <c r="C225" s="31">
        <f>C210*C224</f>
        <v>95.634</v>
      </c>
      <c r="R225" s="15"/>
    </row>
    <row r="226" ht="15.75" customHeight="1">
      <c r="B226" s="25" t="s">
        <v>34</v>
      </c>
      <c r="C226" s="31">
        <f>((((C209/1000)+0.005)*C218)*(1-C219))*(1+C220)</f>
        <v>0</v>
      </c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9"/>
    </row>
    <row r="227" ht="15.75" customHeight="1"/>
    <row r="228" ht="15.75" customHeight="1">
      <c r="B228" s="4">
        <v>9.0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3"/>
    </row>
    <row r="229" ht="15.75" customHeight="1">
      <c r="B229" s="5" t="s">
        <v>2</v>
      </c>
      <c r="C229" s="6"/>
      <c r="D229" s="3"/>
      <c r="E229" s="7"/>
      <c r="F229" s="8" t="s">
        <v>4</v>
      </c>
      <c r="G229" s="2"/>
      <c r="H229" s="3"/>
      <c r="I229" s="9"/>
      <c r="J229" s="10" t="s">
        <v>5</v>
      </c>
      <c r="K229" s="10" t="s">
        <v>6</v>
      </c>
      <c r="L229" s="11"/>
      <c r="M229" s="7"/>
      <c r="N229" s="7"/>
      <c r="O229" s="7"/>
      <c r="P229" s="7"/>
      <c r="Q229" s="7"/>
      <c r="R229" s="12"/>
    </row>
    <row r="230" ht="15.75" customHeight="1">
      <c r="B230" s="5" t="s">
        <v>7</v>
      </c>
      <c r="C230" s="6"/>
      <c r="D230" s="3"/>
      <c r="F230" s="13" t="s">
        <v>9</v>
      </c>
      <c r="G230" s="13" t="s">
        <v>10</v>
      </c>
      <c r="H230" s="13" t="s">
        <v>11</v>
      </c>
      <c r="I230" s="9"/>
      <c r="J230" s="13"/>
      <c r="K230" s="13"/>
      <c r="L230" s="14"/>
      <c r="R230" s="15"/>
    </row>
    <row r="231" ht="15.75" customHeight="1">
      <c r="B231" s="5" t="s">
        <v>12</v>
      </c>
      <c r="C231" s="6"/>
      <c r="D231" s="3"/>
      <c r="F231" s="16"/>
      <c r="G231" s="16"/>
      <c r="H231" s="16"/>
      <c r="I231" s="9"/>
      <c r="J231" s="17">
        <f t="shared" ref="J231:J250" si="17">((F231+F231+G231+G231)*H231)/1000</f>
        <v>0</v>
      </c>
      <c r="K231" s="17">
        <f t="shared" ref="K231:K250" si="18">(F231*G231*H231)/1000000</f>
        <v>0</v>
      </c>
      <c r="L231" s="18"/>
      <c r="M231" s="19" t="s">
        <v>14</v>
      </c>
      <c r="N231" s="2"/>
      <c r="O231" s="2"/>
      <c r="P231" s="3"/>
      <c r="Q231" s="20">
        <f>SUM(J231:J250)</f>
        <v>0</v>
      </c>
      <c r="R231" s="15" t="s">
        <v>5</v>
      </c>
    </row>
    <row r="232" ht="15.75" customHeight="1">
      <c r="B232" s="21"/>
      <c r="F232" s="16"/>
      <c r="G232" s="16"/>
      <c r="H232" s="16"/>
      <c r="I232" s="9"/>
      <c r="J232" s="17">
        <f t="shared" si="17"/>
        <v>0</v>
      </c>
      <c r="K232" s="17">
        <f t="shared" si="18"/>
        <v>0</v>
      </c>
      <c r="L232" s="18"/>
      <c r="M232" s="19" t="s">
        <v>15</v>
      </c>
      <c r="N232" s="2"/>
      <c r="O232" s="2"/>
      <c r="P232" s="3"/>
      <c r="Q232" s="22">
        <f>_xlfn.CEILING.MATH(Q231,50,1)</f>
        <v>0</v>
      </c>
      <c r="R232" s="15"/>
    </row>
    <row r="233" ht="15.75" customHeight="1">
      <c r="B233" s="23" t="s">
        <v>16</v>
      </c>
      <c r="C233" s="3"/>
      <c r="F233" s="16"/>
      <c r="G233" s="16"/>
      <c r="H233" s="16"/>
      <c r="I233" s="9"/>
      <c r="J233" s="17">
        <f t="shared" si="17"/>
        <v>0</v>
      </c>
      <c r="K233" s="17">
        <f t="shared" si="18"/>
        <v>0</v>
      </c>
      <c r="L233" s="18"/>
      <c r="M233" s="19" t="s">
        <v>17</v>
      </c>
      <c r="N233" s="2"/>
      <c r="O233" s="2"/>
      <c r="P233" s="3"/>
      <c r="Q233" s="24">
        <f>Q232*C254</f>
        <v>0</v>
      </c>
      <c r="R233" s="15"/>
    </row>
    <row r="234" ht="15.75" customHeight="1">
      <c r="B234" s="25"/>
      <c r="C234" s="25"/>
      <c r="F234" s="16"/>
      <c r="G234" s="16"/>
      <c r="H234" s="16"/>
      <c r="I234" s="9"/>
      <c r="J234" s="17">
        <f t="shared" si="17"/>
        <v>0</v>
      </c>
      <c r="K234" s="17">
        <f t="shared" si="18"/>
        <v>0</v>
      </c>
      <c r="L234" s="18"/>
      <c r="R234" s="15"/>
    </row>
    <row r="235" ht="15.75" customHeight="1">
      <c r="B235" s="25" t="s">
        <v>18</v>
      </c>
      <c r="C235" s="26">
        <v>2800.0</v>
      </c>
      <c r="D235" s="18"/>
      <c r="F235" s="27"/>
      <c r="G235" s="27"/>
      <c r="H235" s="27"/>
      <c r="I235" s="9"/>
      <c r="J235" s="17">
        <f t="shared" si="17"/>
        <v>0</v>
      </c>
      <c r="K235" s="17">
        <f t="shared" si="18"/>
        <v>0</v>
      </c>
      <c r="L235" s="18"/>
      <c r="M235" s="19" t="s">
        <v>19</v>
      </c>
      <c r="N235" s="2"/>
      <c r="O235" s="2"/>
      <c r="P235" s="3"/>
      <c r="Q235" s="20">
        <f>SUM(K231:K250)</f>
        <v>0</v>
      </c>
      <c r="R235" s="15" t="s">
        <v>6</v>
      </c>
    </row>
    <row r="236" ht="15.75" customHeight="1">
      <c r="B236" s="25" t="s">
        <v>20</v>
      </c>
      <c r="C236" s="26">
        <v>2070.0</v>
      </c>
      <c r="D236" s="18"/>
      <c r="F236" s="27"/>
      <c r="G236" s="27"/>
      <c r="H236" s="27"/>
      <c r="I236" s="9"/>
      <c r="J236" s="17">
        <f t="shared" si="17"/>
        <v>0</v>
      </c>
      <c r="K236" s="17">
        <f t="shared" si="18"/>
        <v>0</v>
      </c>
      <c r="L236" s="18"/>
      <c r="M236" s="19" t="s">
        <v>21</v>
      </c>
      <c r="N236" s="2"/>
      <c r="O236" s="2"/>
      <c r="P236" s="3"/>
      <c r="Q236" s="20">
        <f>Q235*(1+C244)</f>
        <v>0</v>
      </c>
      <c r="R236" s="15" t="s">
        <v>6</v>
      </c>
    </row>
    <row r="237" ht="15.75" customHeight="1">
      <c r="B237" s="25" t="s">
        <v>22</v>
      </c>
      <c r="C237" s="26">
        <v>19.0</v>
      </c>
      <c r="D237" s="18"/>
      <c r="F237" s="27"/>
      <c r="G237" s="27"/>
      <c r="H237" s="27"/>
      <c r="I237" s="9"/>
      <c r="J237" s="17">
        <f t="shared" si="17"/>
        <v>0</v>
      </c>
      <c r="K237" s="17">
        <f t="shared" si="18"/>
        <v>0</v>
      </c>
      <c r="L237" s="18"/>
      <c r="R237" s="15"/>
    </row>
    <row r="238" ht="15.75" customHeight="1">
      <c r="B238" s="25" t="s">
        <v>23</v>
      </c>
      <c r="C238" s="17">
        <f>(C235*C236)/1000000</f>
        <v>5.796</v>
      </c>
      <c r="D238" s="28"/>
      <c r="F238" s="27"/>
      <c r="G238" s="27"/>
      <c r="H238" s="27"/>
      <c r="I238" s="13"/>
      <c r="J238" s="17">
        <f t="shared" si="17"/>
        <v>0</v>
      </c>
      <c r="K238" s="17">
        <f t="shared" si="18"/>
        <v>0</v>
      </c>
      <c r="L238" s="18"/>
      <c r="M238" s="19" t="s">
        <v>24</v>
      </c>
      <c r="N238" s="2"/>
      <c r="O238" s="2"/>
      <c r="P238" s="3"/>
      <c r="Q238" s="22">
        <f>_xlfn.CEILING.MATH(Q236/C238,1,1)</f>
        <v>0</v>
      </c>
      <c r="R238" s="15"/>
    </row>
    <row r="239" ht="15.75" customHeight="1">
      <c r="B239" s="21"/>
      <c r="F239" s="27"/>
      <c r="G239" s="27"/>
      <c r="H239" s="27"/>
      <c r="I239" s="13"/>
      <c r="J239" s="17">
        <f t="shared" si="17"/>
        <v>0</v>
      </c>
      <c r="K239" s="17">
        <f t="shared" si="18"/>
        <v>0</v>
      </c>
      <c r="L239" s="18"/>
      <c r="M239" s="19" t="s">
        <v>25</v>
      </c>
      <c r="N239" s="2"/>
      <c r="O239" s="2"/>
      <c r="P239" s="3"/>
      <c r="Q239" s="24">
        <f>Q238*C253</f>
        <v>0</v>
      </c>
      <c r="R239" s="15"/>
    </row>
    <row r="240" ht="15.75" customHeight="1">
      <c r="B240" s="23" t="s">
        <v>26</v>
      </c>
      <c r="C240" s="3"/>
      <c r="F240" s="27"/>
      <c r="G240" s="27"/>
      <c r="H240" s="27"/>
      <c r="I240" s="13"/>
      <c r="J240" s="17">
        <f t="shared" si="17"/>
        <v>0</v>
      </c>
      <c r="K240" s="17">
        <f t="shared" si="18"/>
        <v>0</v>
      </c>
      <c r="L240" s="18"/>
      <c r="R240" s="15"/>
    </row>
    <row r="241" ht="15.75" customHeight="1">
      <c r="B241" s="25" t="s">
        <v>6</v>
      </c>
      <c r="C241" s="45"/>
      <c r="D241" s="30"/>
      <c r="F241" s="16"/>
      <c r="G241" s="16"/>
      <c r="H241" s="16"/>
      <c r="I241" s="9"/>
      <c r="J241" s="17">
        <f t="shared" si="17"/>
        <v>0</v>
      </c>
      <c r="K241" s="17">
        <f t="shared" si="18"/>
        <v>0</v>
      </c>
      <c r="R241" s="15"/>
    </row>
    <row r="242" ht="15.75" customHeight="1">
      <c r="B242" s="25" t="s">
        <v>27</v>
      </c>
      <c r="C242" s="31">
        <f>C241*C238</f>
        <v>0</v>
      </c>
      <c r="F242" s="16"/>
      <c r="G242" s="16"/>
      <c r="H242" s="16"/>
      <c r="I242" s="9"/>
      <c r="J242" s="17">
        <f t="shared" si="17"/>
        <v>0</v>
      </c>
      <c r="K242" s="17">
        <f t="shared" si="18"/>
        <v>0</v>
      </c>
      <c r="P242" s="32" t="s">
        <v>28</v>
      </c>
      <c r="Q242" s="33"/>
      <c r="R242" s="15"/>
    </row>
    <row r="243" ht="15.75" customHeight="1">
      <c r="B243" s="25" t="s">
        <v>29</v>
      </c>
      <c r="C243" s="34">
        <v>0.45</v>
      </c>
      <c r="F243" s="16"/>
      <c r="G243" s="16"/>
      <c r="H243" s="16"/>
      <c r="I243" s="9"/>
      <c r="J243" s="17">
        <f t="shared" si="17"/>
        <v>0</v>
      </c>
      <c r="K243" s="17">
        <f t="shared" si="18"/>
        <v>0</v>
      </c>
      <c r="P243" s="35">
        <f>Q239+Q233</f>
        <v>0</v>
      </c>
      <c r="Q243" s="36"/>
      <c r="R243" s="15"/>
    </row>
    <row r="244" ht="15.75" customHeight="1">
      <c r="B244" s="25" t="s">
        <v>30</v>
      </c>
      <c r="C244" s="34">
        <v>0.3</v>
      </c>
      <c r="F244" s="16"/>
      <c r="G244" s="16"/>
      <c r="H244" s="16"/>
      <c r="I244" s="9"/>
      <c r="J244" s="17">
        <f t="shared" si="17"/>
        <v>0</v>
      </c>
      <c r="K244" s="17">
        <f t="shared" si="18"/>
        <v>0</v>
      </c>
      <c r="R244" s="15"/>
    </row>
    <row r="245" ht="15.75" customHeight="1">
      <c r="B245" s="23" t="s">
        <v>31</v>
      </c>
      <c r="C245" s="3"/>
      <c r="F245" s="27"/>
      <c r="G245" s="27"/>
      <c r="H245" s="27"/>
      <c r="I245" s="9"/>
      <c r="J245" s="17">
        <f t="shared" si="17"/>
        <v>0</v>
      </c>
      <c r="K245" s="17">
        <f t="shared" si="18"/>
        <v>0</v>
      </c>
      <c r="R245" s="15"/>
    </row>
    <row r="246" ht="15.75" customHeight="1">
      <c r="B246" s="25" t="s">
        <v>32</v>
      </c>
      <c r="C246" s="37">
        <v>46.0</v>
      </c>
      <c r="F246" s="27"/>
      <c r="G246" s="27"/>
      <c r="H246" s="27"/>
      <c r="I246" s="9"/>
      <c r="J246" s="17">
        <f t="shared" si="17"/>
        <v>0</v>
      </c>
      <c r="K246" s="17">
        <f t="shared" si="18"/>
        <v>0</v>
      </c>
      <c r="R246" s="15"/>
    </row>
    <row r="247" ht="15.75" customHeight="1">
      <c r="B247" s="25" t="s">
        <v>29</v>
      </c>
      <c r="C247" s="34">
        <v>0.4</v>
      </c>
      <c r="F247" s="27"/>
      <c r="G247" s="27"/>
      <c r="H247" s="27"/>
      <c r="I247" s="9"/>
      <c r="J247" s="17">
        <f t="shared" si="17"/>
        <v>0</v>
      </c>
      <c r="K247" s="17">
        <f t="shared" si="18"/>
        <v>0</v>
      </c>
      <c r="R247" s="15"/>
    </row>
    <row r="248" ht="15.75" customHeight="1">
      <c r="B248" s="25" t="s">
        <v>30</v>
      </c>
      <c r="C248" s="34">
        <v>0.1</v>
      </c>
      <c r="F248" s="27"/>
      <c r="G248" s="27"/>
      <c r="H248" s="27"/>
      <c r="I248" s="13"/>
      <c r="J248" s="17">
        <f t="shared" si="17"/>
        <v>0</v>
      </c>
      <c r="K248" s="17">
        <f t="shared" si="18"/>
        <v>0</v>
      </c>
      <c r="R248" s="15"/>
    </row>
    <row r="249" ht="15.75" customHeight="1">
      <c r="B249" s="21"/>
      <c r="F249" s="27"/>
      <c r="G249" s="27"/>
      <c r="H249" s="27"/>
      <c r="I249" s="13"/>
      <c r="J249" s="17">
        <f t="shared" si="17"/>
        <v>0</v>
      </c>
      <c r="K249" s="17">
        <f t="shared" si="18"/>
        <v>0</v>
      </c>
      <c r="R249" s="15"/>
    </row>
    <row r="250" ht="15.75" customHeight="1">
      <c r="B250" s="23" t="s">
        <v>33</v>
      </c>
      <c r="C250" s="3"/>
      <c r="F250" s="27"/>
      <c r="G250" s="27"/>
      <c r="H250" s="27"/>
      <c r="I250" s="13"/>
      <c r="J250" s="17">
        <f t="shared" si="17"/>
        <v>0</v>
      </c>
      <c r="K250" s="17">
        <f t="shared" si="18"/>
        <v>0</v>
      </c>
      <c r="R250" s="15"/>
    </row>
    <row r="251" ht="15.75" customHeight="1">
      <c r="B251" s="25"/>
      <c r="C251" s="25"/>
      <c r="R251" s="15"/>
    </row>
    <row r="252" ht="15.75" customHeight="1">
      <c r="B252" s="25" t="s">
        <v>6</v>
      </c>
      <c r="C252" s="31">
        <f>C241*(1-C243)</f>
        <v>0</v>
      </c>
      <c r="R252" s="15"/>
    </row>
    <row r="253" ht="15.75" customHeight="1">
      <c r="B253" s="25" t="s">
        <v>27</v>
      </c>
      <c r="C253" s="31">
        <f>C238*C252</f>
        <v>0</v>
      </c>
      <c r="R253" s="15"/>
    </row>
    <row r="254" ht="15.75" customHeight="1">
      <c r="B254" s="25" t="s">
        <v>34</v>
      </c>
      <c r="C254" s="31">
        <f>((((C237/1000)+0.005)*C246)*(1-C247))*(1+C248)</f>
        <v>0.72864</v>
      </c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9"/>
    </row>
    <row r="255" ht="15.75" customHeight="1"/>
    <row r="256" ht="15.75" customHeight="1">
      <c r="B256" s="4">
        <v>10.0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3"/>
    </row>
    <row r="257" ht="15.75" customHeight="1">
      <c r="B257" s="5" t="s">
        <v>2</v>
      </c>
      <c r="C257" s="6"/>
      <c r="D257" s="3"/>
      <c r="E257" s="7"/>
      <c r="F257" s="8" t="s">
        <v>4</v>
      </c>
      <c r="G257" s="2"/>
      <c r="H257" s="3"/>
      <c r="I257" s="9"/>
      <c r="J257" s="10" t="s">
        <v>5</v>
      </c>
      <c r="K257" s="10" t="s">
        <v>6</v>
      </c>
      <c r="L257" s="11"/>
      <c r="M257" s="7"/>
      <c r="N257" s="7"/>
      <c r="O257" s="7"/>
      <c r="P257" s="7"/>
      <c r="Q257" s="7"/>
      <c r="R257" s="12"/>
    </row>
    <row r="258" ht="15.75" customHeight="1">
      <c r="B258" s="5" t="s">
        <v>7</v>
      </c>
      <c r="C258" s="6"/>
      <c r="D258" s="3"/>
      <c r="F258" s="13" t="s">
        <v>9</v>
      </c>
      <c r="G258" s="13" t="s">
        <v>10</v>
      </c>
      <c r="H258" s="13" t="s">
        <v>11</v>
      </c>
      <c r="I258" s="9"/>
      <c r="J258" s="13"/>
      <c r="K258" s="13"/>
      <c r="L258" s="14"/>
      <c r="R258" s="15"/>
    </row>
    <row r="259" ht="15.75" customHeight="1">
      <c r="B259" s="5" t="s">
        <v>12</v>
      </c>
      <c r="C259" s="6"/>
      <c r="D259" s="3"/>
      <c r="F259" s="16"/>
      <c r="G259" s="16"/>
      <c r="H259" s="16"/>
      <c r="I259" s="9"/>
      <c r="J259" s="17">
        <f t="shared" ref="J259:J278" si="19">((F259+F259+G259+G259)*H259)/1000</f>
        <v>0</v>
      </c>
      <c r="K259" s="17">
        <f t="shared" ref="K259:K278" si="20">(F259*G259*H259)/1000000</f>
        <v>0</v>
      </c>
      <c r="L259" s="18"/>
      <c r="M259" s="19" t="s">
        <v>14</v>
      </c>
      <c r="N259" s="2"/>
      <c r="O259" s="2"/>
      <c r="P259" s="3"/>
      <c r="Q259" s="20">
        <f>SUM(J259:J278)</f>
        <v>0</v>
      </c>
      <c r="R259" s="15" t="s">
        <v>5</v>
      </c>
    </row>
    <row r="260" ht="15.75" customHeight="1">
      <c r="B260" s="21"/>
      <c r="F260" s="16"/>
      <c r="G260" s="16"/>
      <c r="H260" s="16"/>
      <c r="I260" s="9"/>
      <c r="J260" s="17">
        <f t="shared" si="19"/>
        <v>0</v>
      </c>
      <c r="K260" s="17">
        <f t="shared" si="20"/>
        <v>0</v>
      </c>
      <c r="L260" s="18"/>
      <c r="M260" s="19" t="s">
        <v>15</v>
      </c>
      <c r="N260" s="2"/>
      <c r="O260" s="2"/>
      <c r="P260" s="3"/>
      <c r="Q260" s="22">
        <f>_xlfn.CEILING.MATH(Q259,50,1)</f>
        <v>0</v>
      </c>
      <c r="R260" s="15"/>
    </row>
    <row r="261" ht="15.75" customHeight="1">
      <c r="B261" s="23" t="s">
        <v>16</v>
      </c>
      <c r="C261" s="3"/>
      <c r="F261" s="16"/>
      <c r="G261" s="16"/>
      <c r="H261" s="16"/>
      <c r="I261" s="9"/>
      <c r="J261" s="17">
        <f t="shared" si="19"/>
        <v>0</v>
      </c>
      <c r="K261" s="17">
        <f t="shared" si="20"/>
        <v>0</v>
      </c>
      <c r="L261" s="18"/>
      <c r="M261" s="19" t="s">
        <v>17</v>
      </c>
      <c r="N261" s="2"/>
      <c r="O261" s="2"/>
      <c r="P261" s="3"/>
      <c r="Q261" s="24">
        <f>Q260*C282</f>
        <v>0</v>
      </c>
      <c r="R261" s="15"/>
    </row>
    <row r="262" ht="15.75" customHeight="1">
      <c r="B262" s="25"/>
      <c r="C262" s="25"/>
      <c r="F262" s="16"/>
      <c r="G262" s="16"/>
      <c r="H262" s="16"/>
      <c r="I262" s="9"/>
      <c r="J262" s="17">
        <f t="shared" si="19"/>
        <v>0</v>
      </c>
      <c r="K262" s="17">
        <f t="shared" si="20"/>
        <v>0</v>
      </c>
      <c r="L262" s="18"/>
      <c r="R262" s="15"/>
    </row>
    <row r="263" ht="15.75" customHeight="1">
      <c r="B263" s="25" t="s">
        <v>18</v>
      </c>
      <c r="C263" s="26">
        <v>2800.0</v>
      </c>
      <c r="D263" s="18"/>
      <c r="F263" s="27"/>
      <c r="G263" s="27"/>
      <c r="H263" s="27"/>
      <c r="I263" s="9"/>
      <c r="J263" s="17">
        <f t="shared" si="19"/>
        <v>0</v>
      </c>
      <c r="K263" s="17">
        <f t="shared" si="20"/>
        <v>0</v>
      </c>
      <c r="L263" s="18"/>
      <c r="M263" s="19" t="s">
        <v>19</v>
      </c>
      <c r="N263" s="2"/>
      <c r="O263" s="2"/>
      <c r="P263" s="3"/>
      <c r="Q263" s="20">
        <f>SUM(K259:K278)</f>
        <v>0</v>
      </c>
      <c r="R263" s="15" t="s">
        <v>6</v>
      </c>
    </row>
    <row r="264" ht="15.75" customHeight="1">
      <c r="B264" s="25" t="s">
        <v>20</v>
      </c>
      <c r="C264" s="26">
        <v>2070.0</v>
      </c>
      <c r="D264" s="18"/>
      <c r="F264" s="27"/>
      <c r="G264" s="27"/>
      <c r="H264" s="27"/>
      <c r="I264" s="9"/>
      <c r="J264" s="17">
        <f t="shared" si="19"/>
        <v>0</v>
      </c>
      <c r="K264" s="17">
        <f t="shared" si="20"/>
        <v>0</v>
      </c>
      <c r="L264" s="18"/>
      <c r="M264" s="19" t="s">
        <v>21</v>
      </c>
      <c r="N264" s="2"/>
      <c r="O264" s="2"/>
      <c r="P264" s="3"/>
      <c r="Q264" s="20">
        <f>Q263*(1+C272)</f>
        <v>0</v>
      </c>
      <c r="R264" s="15" t="s">
        <v>6</v>
      </c>
    </row>
    <row r="265" ht="15.75" customHeight="1">
      <c r="B265" s="25" t="s">
        <v>22</v>
      </c>
      <c r="C265" s="26">
        <v>19.0</v>
      </c>
      <c r="D265" s="18"/>
      <c r="F265" s="27"/>
      <c r="G265" s="27"/>
      <c r="H265" s="27"/>
      <c r="I265" s="9"/>
      <c r="J265" s="17">
        <f t="shared" si="19"/>
        <v>0</v>
      </c>
      <c r="K265" s="17">
        <f t="shared" si="20"/>
        <v>0</v>
      </c>
      <c r="L265" s="18"/>
      <c r="R265" s="15"/>
    </row>
    <row r="266" ht="15.75" customHeight="1">
      <c r="B266" s="25" t="s">
        <v>23</v>
      </c>
      <c r="C266" s="17">
        <f>(C263*C264)/1000000</f>
        <v>5.796</v>
      </c>
      <c r="D266" s="28"/>
      <c r="F266" s="27"/>
      <c r="G266" s="27"/>
      <c r="H266" s="27"/>
      <c r="I266" s="13"/>
      <c r="J266" s="17">
        <f t="shared" si="19"/>
        <v>0</v>
      </c>
      <c r="K266" s="17">
        <f t="shared" si="20"/>
        <v>0</v>
      </c>
      <c r="L266" s="18"/>
      <c r="M266" s="19" t="s">
        <v>24</v>
      </c>
      <c r="N266" s="2"/>
      <c r="O266" s="2"/>
      <c r="P266" s="3"/>
      <c r="Q266" s="22">
        <f>_xlfn.CEILING.MATH(Q264/C266,1,1)</f>
        <v>0</v>
      </c>
      <c r="R266" s="15"/>
    </row>
    <row r="267" ht="15.75" customHeight="1">
      <c r="B267" s="21"/>
      <c r="F267" s="27"/>
      <c r="G267" s="27"/>
      <c r="H267" s="27"/>
      <c r="I267" s="13"/>
      <c r="J267" s="17">
        <f t="shared" si="19"/>
        <v>0</v>
      </c>
      <c r="K267" s="17">
        <f t="shared" si="20"/>
        <v>0</v>
      </c>
      <c r="L267" s="18"/>
      <c r="M267" s="19" t="s">
        <v>25</v>
      </c>
      <c r="N267" s="2"/>
      <c r="O267" s="2"/>
      <c r="P267" s="3"/>
      <c r="Q267" s="24">
        <f>Q266*C281</f>
        <v>0</v>
      </c>
      <c r="R267" s="15"/>
    </row>
    <row r="268" ht="15.75" customHeight="1">
      <c r="B268" s="23" t="s">
        <v>26</v>
      </c>
      <c r="C268" s="3"/>
      <c r="F268" s="27"/>
      <c r="G268" s="27"/>
      <c r="H268" s="27"/>
      <c r="I268" s="13"/>
      <c r="J268" s="17">
        <f t="shared" si="19"/>
        <v>0</v>
      </c>
      <c r="K268" s="17">
        <f t="shared" si="20"/>
        <v>0</v>
      </c>
      <c r="L268" s="18"/>
      <c r="R268" s="15"/>
    </row>
    <row r="269" ht="15.75" customHeight="1">
      <c r="B269" s="25" t="s">
        <v>6</v>
      </c>
      <c r="C269" s="45"/>
      <c r="D269" s="30"/>
      <c r="F269" s="16"/>
      <c r="G269" s="16"/>
      <c r="H269" s="16"/>
      <c r="I269" s="9"/>
      <c r="J269" s="17">
        <f t="shared" si="19"/>
        <v>0</v>
      </c>
      <c r="K269" s="17">
        <f t="shared" si="20"/>
        <v>0</v>
      </c>
      <c r="R269" s="15"/>
    </row>
    <row r="270" ht="15.75" customHeight="1">
      <c r="B270" s="25" t="s">
        <v>27</v>
      </c>
      <c r="C270" s="31">
        <f>C269*C266</f>
        <v>0</v>
      </c>
      <c r="F270" s="16"/>
      <c r="G270" s="16"/>
      <c r="H270" s="16"/>
      <c r="I270" s="9"/>
      <c r="J270" s="17">
        <f t="shared" si="19"/>
        <v>0</v>
      </c>
      <c r="K270" s="17">
        <f t="shared" si="20"/>
        <v>0</v>
      </c>
      <c r="P270" s="32" t="s">
        <v>28</v>
      </c>
      <c r="Q270" s="33"/>
      <c r="R270" s="15"/>
    </row>
    <row r="271" ht="15.75" customHeight="1">
      <c r="B271" s="25" t="s">
        <v>29</v>
      </c>
      <c r="C271" s="34">
        <v>0.45</v>
      </c>
      <c r="F271" s="16"/>
      <c r="G271" s="16"/>
      <c r="H271" s="16"/>
      <c r="I271" s="9"/>
      <c r="J271" s="17">
        <f t="shared" si="19"/>
        <v>0</v>
      </c>
      <c r="K271" s="17">
        <f t="shared" si="20"/>
        <v>0</v>
      </c>
      <c r="P271" s="35">
        <f>Q267+Q261</f>
        <v>0</v>
      </c>
      <c r="Q271" s="36"/>
      <c r="R271" s="15"/>
    </row>
    <row r="272" ht="15.75" customHeight="1">
      <c r="B272" s="25" t="s">
        <v>30</v>
      </c>
      <c r="C272" s="34">
        <v>0.3</v>
      </c>
      <c r="F272" s="16"/>
      <c r="G272" s="16"/>
      <c r="H272" s="16"/>
      <c r="I272" s="9"/>
      <c r="J272" s="17">
        <f t="shared" si="19"/>
        <v>0</v>
      </c>
      <c r="K272" s="17">
        <f t="shared" si="20"/>
        <v>0</v>
      </c>
      <c r="R272" s="15"/>
    </row>
    <row r="273" ht="15.75" customHeight="1">
      <c r="B273" s="23" t="s">
        <v>31</v>
      </c>
      <c r="C273" s="3"/>
      <c r="F273" s="27"/>
      <c r="G273" s="27"/>
      <c r="H273" s="27"/>
      <c r="I273" s="9"/>
      <c r="J273" s="17">
        <f t="shared" si="19"/>
        <v>0</v>
      </c>
      <c r="K273" s="17">
        <f t="shared" si="20"/>
        <v>0</v>
      </c>
      <c r="R273" s="15"/>
    </row>
    <row r="274" ht="15.75" customHeight="1">
      <c r="B274" s="25" t="s">
        <v>32</v>
      </c>
      <c r="C274" s="37">
        <v>46.0</v>
      </c>
      <c r="F274" s="27"/>
      <c r="G274" s="27"/>
      <c r="H274" s="27"/>
      <c r="I274" s="9"/>
      <c r="J274" s="17">
        <f t="shared" si="19"/>
        <v>0</v>
      </c>
      <c r="K274" s="17">
        <f t="shared" si="20"/>
        <v>0</v>
      </c>
      <c r="R274" s="15"/>
    </row>
    <row r="275" ht="15.75" customHeight="1">
      <c r="B275" s="25" t="s">
        <v>29</v>
      </c>
      <c r="C275" s="34">
        <v>0.4</v>
      </c>
      <c r="F275" s="27"/>
      <c r="G275" s="27"/>
      <c r="H275" s="27"/>
      <c r="I275" s="9"/>
      <c r="J275" s="17">
        <f t="shared" si="19"/>
        <v>0</v>
      </c>
      <c r="K275" s="17">
        <f t="shared" si="20"/>
        <v>0</v>
      </c>
      <c r="R275" s="15"/>
    </row>
    <row r="276" ht="15.75" customHeight="1">
      <c r="B276" s="25" t="s">
        <v>30</v>
      </c>
      <c r="C276" s="34">
        <v>0.1</v>
      </c>
      <c r="F276" s="27"/>
      <c r="G276" s="27"/>
      <c r="H276" s="27"/>
      <c r="I276" s="13"/>
      <c r="J276" s="17">
        <f t="shared" si="19"/>
        <v>0</v>
      </c>
      <c r="K276" s="17">
        <f t="shared" si="20"/>
        <v>0</v>
      </c>
      <c r="R276" s="15"/>
    </row>
    <row r="277" ht="15.75" customHeight="1">
      <c r="B277" s="21"/>
      <c r="F277" s="27"/>
      <c r="G277" s="27"/>
      <c r="H277" s="27"/>
      <c r="I277" s="13"/>
      <c r="J277" s="17">
        <f t="shared" si="19"/>
        <v>0</v>
      </c>
      <c r="K277" s="17">
        <f t="shared" si="20"/>
        <v>0</v>
      </c>
      <c r="R277" s="15"/>
    </row>
    <row r="278" ht="15.75" customHeight="1">
      <c r="B278" s="23" t="s">
        <v>33</v>
      </c>
      <c r="C278" s="3"/>
      <c r="F278" s="27"/>
      <c r="G278" s="27"/>
      <c r="H278" s="27"/>
      <c r="I278" s="13"/>
      <c r="J278" s="17">
        <f t="shared" si="19"/>
        <v>0</v>
      </c>
      <c r="K278" s="17">
        <f t="shared" si="20"/>
        <v>0</v>
      </c>
      <c r="R278" s="15"/>
    </row>
    <row r="279" ht="15.75" customHeight="1">
      <c r="B279" s="25"/>
      <c r="C279" s="25"/>
      <c r="R279" s="15"/>
    </row>
    <row r="280" ht="15.75" customHeight="1">
      <c r="B280" s="25" t="s">
        <v>6</v>
      </c>
      <c r="C280" s="31">
        <f>C269*(1-C271)</f>
        <v>0</v>
      </c>
      <c r="R280" s="15"/>
    </row>
    <row r="281" ht="15.75" customHeight="1">
      <c r="B281" s="25" t="s">
        <v>27</v>
      </c>
      <c r="C281" s="31">
        <f>C266*C280</f>
        <v>0</v>
      </c>
      <c r="R281" s="15"/>
    </row>
    <row r="282" ht="15.75" customHeight="1">
      <c r="B282" s="25" t="s">
        <v>34</v>
      </c>
      <c r="C282" s="31">
        <f>((((C265/1000)+0.005)*C274)*(1-C275))*(1+C276)</f>
        <v>0.72864</v>
      </c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9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1">
    <mergeCell ref="M36:P36"/>
    <mergeCell ref="M37:P37"/>
    <mergeCell ref="M39:P39"/>
    <mergeCell ref="M40:P40"/>
    <mergeCell ref="M42:P42"/>
    <mergeCell ref="M43:P43"/>
    <mergeCell ref="P46:Q46"/>
    <mergeCell ref="M65:P65"/>
    <mergeCell ref="M67:P67"/>
    <mergeCell ref="M68:P68"/>
    <mergeCell ref="M70:P70"/>
    <mergeCell ref="M71:P71"/>
    <mergeCell ref="P74:Q74"/>
    <mergeCell ref="P75:Q75"/>
    <mergeCell ref="B88:R88"/>
    <mergeCell ref="C89:D89"/>
    <mergeCell ref="F89:H89"/>
    <mergeCell ref="C90:D90"/>
    <mergeCell ref="C91:D91"/>
    <mergeCell ref="M91:P91"/>
    <mergeCell ref="B93:C93"/>
    <mergeCell ref="M92:P92"/>
    <mergeCell ref="M93:P93"/>
    <mergeCell ref="M95:P95"/>
    <mergeCell ref="M96:P96"/>
    <mergeCell ref="M98:P98"/>
    <mergeCell ref="M99:P99"/>
    <mergeCell ref="P102:Q102"/>
    <mergeCell ref="C119:D119"/>
    <mergeCell ref="B121:C121"/>
    <mergeCell ref="P103:Q103"/>
    <mergeCell ref="B116:R116"/>
    <mergeCell ref="C117:D117"/>
    <mergeCell ref="F117:H117"/>
    <mergeCell ref="C118:D118"/>
    <mergeCell ref="M119:P119"/>
    <mergeCell ref="M120:P120"/>
    <mergeCell ref="C7:D7"/>
    <mergeCell ref="B9:C9"/>
    <mergeCell ref="B16:C16"/>
    <mergeCell ref="B21:C21"/>
    <mergeCell ref="B26:C26"/>
    <mergeCell ref="B44:C44"/>
    <mergeCell ref="B49:C49"/>
    <mergeCell ref="B54:C54"/>
    <mergeCell ref="B2:D2"/>
    <mergeCell ref="B4:R4"/>
    <mergeCell ref="C5:D5"/>
    <mergeCell ref="F5:H5"/>
    <mergeCell ref="C6:D6"/>
    <mergeCell ref="M7:P7"/>
    <mergeCell ref="M8:P8"/>
    <mergeCell ref="M9:P9"/>
    <mergeCell ref="M11:P11"/>
    <mergeCell ref="M12:P12"/>
    <mergeCell ref="M14:P14"/>
    <mergeCell ref="M15:P15"/>
    <mergeCell ref="P18:Q18"/>
    <mergeCell ref="P19:Q19"/>
    <mergeCell ref="B32:R32"/>
    <mergeCell ref="C33:D33"/>
    <mergeCell ref="F33:H33"/>
    <mergeCell ref="C34:D34"/>
    <mergeCell ref="C35:D35"/>
    <mergeCell ref="M35:P35"/>
    <mergeCell ref="B37:C37"/>
    <mergeCell ref="P47:Q47"/>
    <mergeCell ref="B60:R60"/>
    <mergeCell ref="C61:D61"/>
    <mergeCell ref="F61:H61"/>
    <mergeCell ref="C62:D62"/>
    <mergeCell ref="M63:P63"/>
    <mergeCell ref="M64:P64"/>
    <mergeCell ref="B110:C110"/>
    <mergeCell ref="B128:C128"/>
    <mergeCell ref="B133:C133"/>
    <mergeCell ref="B138:C138"/>
    <mergeCell ref="C63:D63"/>
    <mergeCell ref="B65:C65"/>
    <mergeCell ref="B72:C72"/>
    <mergeCell ref="B77:C77"/>
    <mergeCell ref="B82:C82"/>
    <mergeCell ref="B100:C100"/>
    <mergeCell ref="B105:C105"/>
    <mergeCell ref="C203:D203"/>
    <mergeCell ref="B205:C205"/>
    <mergeCell ref="B194:C194"/>
    <mergeCell ref="B200:R200"/>
    <mergeCell ref="C201:D201"/>
    <mergeCell ref="F201:H201"/>
    <mergeCell ref="C202:D202"/>
    <mergeCell ref="M203:P203"/>
    <mergeCell ref="M204:P204"/>
    <mergeCell ref="B212:C212"/>
    <mergeCell ref="B217:C217"/>
    <mergeCell ref="B222:C222"/>
    <mergeCell ref="B228:R228"/>
    <mergeCell ref="C229:D229"/>
    <mergeCell ref="F229:H229"/>
    <mergeCell ref="C230:D230"/>
    <mergeCell ref="C231:D231"/>
    <mergeCell ref="M231:P231"/>
    <mergeCell ref="M232:P232"/>
    <mergeCell ref="B233:C233"/>
    <mergeCell ref="M233:P233"/>
    <mergeCell ref="M235:P235"/>
    <mergeCell ref="M236:P236"/>
    <mergeCell ref="M238:P238"/>
    <mergeCell ref="M239:P239"/>
    <mergeCell ref="B240:C240"/>
    <mergeCell ref="P242:Q242"/>
    <mergeCell ref="P243:Q243"/>
    <mergeCell ref="B245:C245"/>
    <mergeCell ref="B250:C250"/>
    <mergeCell ref="B256:R256"/>
    <mergeCell ref="C257:D257"/>
    <mergeCell ref="F257:H257"/>
    <mergeCell ref="C258:D258"/>
    <mergeCell ref="C259:D259"/>
    <mergeCell ref="M259:P259"/>
    <mergeCell ref="B261:C261"/>
    <mergeCell ref="P270:Q270"/>
    <mergeCell ref="P271:Q271"/>
    <mergeCell ref="B273:C273"/>
    <mergeCell ref="B278:C278"/>
    <mergeCell ref="M260:P260"/>
    <mergeCell ref="M261:P261"/>
    <mergeCell ref="M263:P263"/>
    <mergeCell ref="M264:P264"/>
    <mergeCell ref="M266:P266"/>
    <mergeCell ref="M267:P267"/>
    <mergeCell ref="B268:C268"/>
    <mergeCell ref="M121:P121"/>
    <mergeCell ref="M123:P123"/>
    <mergeCell ref="M124:P124"/>
    <mergeCell ref="M126:P126"/>
    <mergeCell ref="M127:P127"/>
    <mergeCell ref="P130:Q130"/>
    <mergeCell ref="P131:Q131"/>
    <mergeCell ref="B144:R144"/>
    <mergeCell ref="C145:D145"/>
    <mergeCell ref="F145:H145"/>
    <mergeCell ref="C146:D146"/>
    <mergeCell ref="C147:D147"/>
    <mergeCell ref="M147:P147"/>
    <mergeCell ref="B149:C149"/>
    <mergeCell ref="M148:P148"/>
    <mergeCell ref="M149:P149"/>
    <mergeCell ref="M151:P151"/>
    <mergeCell ref="M152:P152"/>
    <mergeCell ref="M154:P154"/>
    <mergeCell ref="M155:P155"/>
    <mergeCell ref="B156:C156"/>
    <mergeCell ref="P158:Q158"/>
    <mergeCell ref="P159:Q159"/>
    <mergeCell ref="B161:C161"/>
    <mergeCell ref="B166:C166"/>
    <mergeCell ref="B172:R172"/>
    <mergeCell ref="C173:D173"/>
    <mergeCell ref="F173:H173"/>
    <mergeCell ref="C174:D174"/>
    <mergeCell ref="C175:D175"/>
    <mergeCell ref="M175:P175"/>
    <mergeCell ref="M176:P176"/>
    <mergeCell ref="B177:C177"/>
    <mergeCell ref="M177:P177"/>
    <mergeCell ref="M179:P179"/>
    <mergeCell ref="M180:P180"/>
    <mergeCell ref="M182:P182"/>
    <mergeCell ref="M183:P183"/>
    <mergeCell ref="B184:C184"/>
    <mergeCell ref="P186:Q186"/>
    <mergeCell ref="P187:Q187"/>
    <mergeCell ref="B189:C189"/>
    <mergeCell ref="M205:P205"/>
    <mergeCell ref="M207:P207"/>
    <mergeCell ref="M208:P208"/>
    <mergeCell ref="M210:P210"/>
    <mergeCell ref="M211:P211"/>
    <mergeCell ref="P214:Q214"/>
    <mergeCell ref="P215:Q2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15.11"/>
    <col customWidth="1" min="3" max="3" width="11.44"/>
    <col customWidth="1" min="4" max="4" width="8.33"/>
    <col customWidth="1" min="5" max="5" width="12.22"/>
    <col customWidth="1" min="6" max="6" width="8.33"/>
    <col customWidth="1" min="8" max="8" width="13.67"/>
  </cols>
  <sheetData>
    <row r="1" ht="15.75" customHeight="1"/>
    <row r="2" ht="15.75" customHeight="1">
      <c r="B2" s="23" t="s">
        <v>47</v>
      </c>
      <c r="C2" s="3"/>
      <c r="E2" s="23" t="s">
        <v>48</v>
      </c>
      <c r="F2" s="3"/>
      <c r="H2" s="23" t="s">
        <v>49</v>
      </c>
      <c r="I2" s="3"/>
      <c r="K2" s="23" t="s">
        <v>50</v>
      </c>
      <c r="L2" s="3"/>
      <c r="N2" s="23" t="s">
        <v>51</v>
      </c>
      <c r="O2" s="3"/>
      <c r="Q2" s="23" t="s">
        <v>52</v>
      </c>
      <c r="R2" s="3"/>
    </row>
    <row r="3" ht="15.75" customHeight="1">
      <c r="B3" s="25"/>
      <c r="C3" s="25"/>
      <c r="E3" s="25"/>
      <c r="F3" s="25"/>
      <c r="H3" s="25"/>
      <c r="I3" s="25"/>
      <c r="K3" s="25"/>
      <c r="L3" s="25"/>
      <c r="N3" s="25"/>
      <c r="O3" s="25"/>
      <c r="Q3" s="25"/>
      <c r="R3" s="25"/>
    </row>
    <row r="4" ht="15.75" customHeight="1">
      <c r="B4" s="25"/>
      <c r="C4" s="25"/>
      <c r="E4" s="25" t="s">
        <v>6</v>
      </c>
      <c r="F4" s="46">
        <v>0.0</v>
      </c>
      <c r="H4" s="25" t="s">
        <v>53</v>
      </c>
      <c r="I4" s="47">
        <v>0.0</v>
      </c>
      <c r="K4" s="47"/>
      <c r="L4" s="47"/>
      <c r="N4" s="46" t="s">
        <v>54</v>
      </c>
      <c r="O4" s="46"/>
      <c r="Q4" s="46"/>
      <c r="R4" s="46"/>
    </row>
    <row r="5" ht="15.75" customHeight="1">
      <c r="B5" s="25" t="s">
        <v>55</v>
      </c>
      <c r="C5" s="48">
        <f>materiali!P19+materiali!P47+materiali!P75+materiali!P103+materiali!P131+materiali!P159+materiali!P187+materiali!P215+materiali!P243+materiali!P271</f>
        <v>0</v>
      </c>
      <c r="E5" s="25" t="s">
        <v>56</v>
      </c>
      <c r="F5" s="47">
        <v>40.0</v>
      </c>
      <c r="H5" s="25" t="s">
        <v>57</v>
      </c>
      <c r="I5" s="47">
        <v>30.0</v>
      </c>
      <c r="K5" s="47"/>
      <c r="L5" s="47"/>
      <c r="N5" s="46" t="s">
        <v>58</v>
      </c>
      <c r="O5" s="46"/>
      <c r="Q5" s="46"/>
      <c r="R5" s="46"/>
    </row>
    <row r="6" ht="15.75" customHeight="1">
      <c r="B6" s="25" t="s">
        <v>59</v>
      </c>
      <c r="C6" s="49">
        <v>1.0</v>
      </c>
      <c r="E6" s="25" t="s">
        <v>59</v>
      </c>
      <c r="F6" s="49">
        <v>0.5</v>
      </c>
      <c r="H6" s="25" t="s">
        <v>59</v>
      </c>
      <c r="I6" s="49">
        <v>0.5</v>
      </c>
      <c r="K6" s="46"/>
      <c r="L6" s="46"/>
      <c r="N6" s="46"/>
      <c r="O6" s="46"/>
      <c r="Q6" s="46"/>
      <c r="R6" s="46"/>
    </row>
    <row r="7" ht="15.75" customHeight="1">
      <c r="B7" s="25"/>
      <c r="C7" s="25"/>
      <c r="E7" s="25"/>
      <c r="F7" s="25"/>
      <c r="H7" s="25"/>
      <c r="I7" s="25"/>
      <c r="K7" s="25"/>
      <c r="L7" s="25"/>
      <c r="N7" s="25"/>
      <c r="O7" s="25"/>
      <c r="Q7" s="25"/>
      <c r="R7" s="25"/>
    </row>
    <row r="8" ht="15.75" customHeight="1">
      <c r="B8" s="25" t="s">
        <v>60</v>
      </c>
      <c r="C8" s="50">
        <f>C5*(1+C6)</f>
        <v>0</v>
      </c>
      <c r="E8" s="25" t="s">
        <v>60</v>
      </c>
      <c r="F8" s="50">
        <f>F5*F4*(1+F6)</f>
        <v>0</v>
      </c>
      <c r="H8" s="25" t="s">
        <v>60</v>
      </c>
      <c r="I8" s="50">
        <f>I5*I4*(1+I6)</f>
        <v>0</v>
      </c>
      <c r="K8" s="25" t="s">
        <v>60</v>
      </c>
      <c r="L8" s="50">
        <f>L4+L5+L6</f>
        <v>0</v>
      </c>
      <c r="N8" s="25" t="s">
        <v>60</v>
      </c>
      <c r="O8" s="50">
        <f>O4+O5+O6</f>
        <v>0</v>
      </c>
      <c r="Q8" s="25" t="s">
        <v>60</v>
      </c>
      <c r="R8" s="50">
        <f>LED!J16+R4+R5+R6</f>
        <v>0</v>
      </c>
    </row>
    <row r="9" ht="15.75" customHeight="1">
      <c r="B9" s="25"/>
      <c r="C9" s="25"/>
      <c r="E9" s="25"/>
      <c r="F9" s="25"/>
      <c r="H9" s="25"/>
      <c r="I9" s="25"/>
      <c r="K9" s="25"/>
      <c r="L9" s="25"/>
      <c r="N9" s="25"/>
      <c r="O9" s="25"/>
      <c r="Q9" s="25"/>
      <c r="R9" s="25"/>
    </row>
    <row r="10" ht="15.75" customHeight="1">
      <c r="B10" s="25" t="s">
        <v>61</v>
      </c>
      <c r="C10" s="49">
        <v>0.0</v>
      </c>
      <c r="E10" s="25" t="s">
        <v>61</v>
      </c>
      <c r="F10" s="49">
        <v>0.0</v>
      </c>
      <c r="H10" s="25" t="s">
        <v>61</v>
      </c>
      <c r="I10" s="49">
        <v>0.0</v>
      </c>
      <c r="K10" s="25" t="s">
        <v>61</v>
      </c>
      <c r="L10" s="49">
        <v>0.0</v>
      </c>
      <c r="N10" s="25" t="s">
        <v>61</v>
      </c>
      <c r="O10" s="49">
        <v>0.0</v>
      </c>
      <c r="Q10" s="25" t="s">
        <v>61</v>
      </c>
      <c r="R10" s="49">
        <v>0.0</v>
      </c>
    </row>
    <row r="11" ht="15.75" customHeight="1">
      <c r="B11" s="25" t="s">
        <v>62</v>
      </c>
      <c r="C11" s="50">
        <f>C8*(1-C10)</f>
        <v>0</v>
      </c>
      <c r="E11" s="25" t="s">
        <v>62</v>
      </c>
      <c r="F11" s="50">
        <f>F8*(1-F10)</f>
        <v>0</v>
      </c>
      <c r="H11" s="25" t="s">
        <v>62</v>
      </c>
      <c r="I11" s="50">
        <f>I8*(1-I10)</f>
        <v>0</v>
      </c>
      <c r="K11" s="25" t="s">
        <v>62</v>
      </c>
      <c r="L11" s="50">
        <f>L8*(1-L10)</f>
        <v>0</v>
      </c>
      <c r="N11" s="25" t="s">
        <v>62</v>
      </c>
      <c r="O11" s="50">
        <f>O8*(1-O10)</f>
        <v>0</v>
      </c>
      <c r="Q11" s="25" t="s">
        <v>62</v>
      </c>
      <c r="R11" s="50">
        <f>R8*(1-R10)</f>
        <v>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>
      <c r="B21" s="51" t="s">
        <v>63</v>
      </c>
      <c r="C21" s="52">
        <f>C11+F11+I11+L11+O11+R11</f>
        <v>0</v>
      </c>
    </row>
    <row r="22" ht="15.75" customHeight="1">
      <c r="B22" s="53"/>
      <c r="C22" s="53"/>
    </row>
    <row r="23" ht="15.75" customHeight="1">
      <c r="B23" s="54" t="s">
        <v>29</v>
      </c>
      <c r="C23" s="55">
        <v>0.0</v>
      </c>
    </row>
    <row r="24" ht="15.75" customHeight="1">
      <c r="B24" s="56" t="s">
        <v>64</v>
      </c>
      <c r="C24" s="57">
        <v>0.05</v>
      </c>
    </row>
    <row r="25" ht="15.75" customHeight="1">
      <c r="B25" s="54"/>
      <c r="C25" s="51"/>
    </row>
    <row r="26" ht="15.75" customHeight="1">
      <c r="B26" s="54" t="s">
        <v>65</v>
      </c>
      <c r="C26" s="52">
        <f>(C21*(1-C23))*(1+C24)</f>
        <v>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C2"/>
    <mergeCell ref="E2:F2"/>
    <mergeCell ref="H2:I2"/>
    <mergeCell ref="K2:L2"/>
    <mergeCell ref="N2:O2"/>
    <mergeCell ref="Q2:R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21.56"/>
    <col customWidth="1" min="3" max="3" width="9.22"/>
    <col customWidth="1" min="4" max="4" width="18.44"/>
    <col customWidth="1" min="5" max="5" width="13.0"/>
    <col customWidth="1" min="6" max="6" width="9.33"/>
    <col customWidth="1" min="7" max="7" width="8.0"/>
    <col customWidth="1" min="8" max="8" width="8.33"/>
    <col customWidth="1" min="9" max="9" width="9.67"/>
    <col customWidth="1" min="10" max="10" width="11.33"/>
    <col customWidth="1" min="11" max="11" width="8.33"/>
  </cols>
  <sheetData>
    <row r="1">
      <c r="A1" s="58" t="s">
        <v>66</v>
      </c>
    </row>
    <row r="2">
      <c r="F2" s="59" t="s">
        <v>67</v>
      </c>
      <c r="G2" s="60"/>
      <c r="H2" s="61"/>
      <c r="J2" s="62" t="s">
        <v>68</v>
      </c>
      <c r="K2" s="61"/>
    </row>
    <row r="3">
      <c r="F3" s="63" t="s">
        <v>69</v>
      </c>
      <c r="G3" s="64"/>
      <c r="H3" s="65" t="s">
        <v>70</v>
      </c>
      <c r="J3" s="66" t="s">
        <v>71</v>
      </c>
      <c r="K3" s="67">
        <v>90.0</v>
      </c>
    </row>
    <row r="4">
      <c r="F4" s="64" t="s">
        <v>72</v>
      </c>
      <c r="G4" s="68"/>
      <c r="H4" s="65" t="s">
        <v>73</v>
      </c>
      <c r="J4" s="46" t="s">
        <v>74</v>
      </c>
      <c r="K4" s="69">
        <v>105.0</v>
      </c>
    </row>
    <row r="5">
      <c r="F5" s="70"/>
      <c r="G5" s="71"/>
      <c r="H5" s="72"/>
      <c r="J5" s="46" t="s">
        <v>75</v>
      </c>
      <c r="K5" s="69">
        <v>130.0</v>
      </c>
    </row>
    <row r="6">
      <c r="B6" s="73" t="s">
        <v>76</v>
      </c>
      <c r="J6" s="46" t="s">
        <v>77</v>
      </c>
      <c r="K6" s="46">
        <v>0.0</v>
      </c>
    </row>
    <row r="7">
      <c r="B7" s="74"/>
    </row>
    <row r="8">
      <c r="B8" s="75" t="s">
        <v>78</v>
      </c>
      <c r="C8" s="75" t="s">
        <v>79</v>
      </c>
      <c r="D8" s="75" t="s">
        <v>12</v>
      </c>
      <c r="E8" s="75" t="s">
        <v>80</v>
      </c>
      <c r="F8" s="75" t="s">
        <v>2</v>
      </c>
      <c r="G8" s="75" t="s">
        <v>81</v>
      </c>
      <c r="H8" s="76" t="s">
        <v>59</v>
      </c>
      <c r="I8" s="77" t="s">
        <v>82</v>
      </c>
      <c r="J8" s="78" t="s">
        <v>83</v>
      </c>
      <c r="K8" s="79" t="s">
        <v>84</v>
      </c>
      <c r="L8" s="80"/>
      <c r="M8" s="80"/>
      <c r="N8" s="80"/>
    </row>
    <row r="9">
      <c r="B9" s="81" t="s">
        <v>85</v>
      </c>
      <c r="C9" s="81" t="s">
        <v>74</v>
      </c>
      <c r="D9" s="81" t="s">
        <v>86</v>
      </c>
      <c r="E9" s="81" t="s">
        <v>87</v>
      </c>
      <c r="F9" s="81" t="s">
        <v>88</v>
      </c>
      <c r="G9" s="82">
        <v>434.0</v>
      </c>
      <c r="H9" s="83">
        <v>0.0</v>
      </c>
      <c r="I9" s="82">
        <f t="shared" ref="I9:I12" si="1">G9+G9*(1*H9)</f>
        <v>434</v>
      </c>
      <c r="J9" s="84">
        <f t="shared" ref="J9:J28" si="2">IFS(C9=$J$3,$K$3,C9=$J$4,$K$4,C9=$J$5,$K$5,C9=$J$6,$K$6)</f>
        <v>105</v>
      </c>
      <c r="K9" s="85">
        <f t="shared" ref="K9:K28" si="3">I9+J9</f>
        <v>539</v>
      </c>
    </row>
    <row r="10">
      <c r="B10" s="25"/>
      <c r="C10" s="81" t="s">
        <v>77</v>
      </c>
      <c r="D10" s="25"/>
      <c r="E10" s="25"/>
      <c r="F10" s="25"/>
      <c r="G10" s="86"/>
      <c r="H10" s="87"/>
      <c r="I10" s="86">
        <f t="shared" si="1"/>
        <v>0</v>
      </c>
      <c r="J10" s="88">
        <f t="shared" si="2"/>
        <v>0</v>
      </c>
      <c r="K10" s="50">
        <f t="shared" si="3"/>
        <v>0</v>
      </c>
    </row>
    <row r="11">
      <c r="B11" s="25"/>
      <c r="C11" s="81" t="s">
        <v>77</v>
      </c>
      <c r="D11" s="25"/>
      <c r="E11" s="25"/>
      <c r="F11" s="25"/>
      <c r="G11" s="86"/>
      <c r="H11" s="87"/>
      <c r="I11" s="86">
        <f t="shared" si="1"/>
        <v>0</v>
      </c>
      <c r="J11" s="88">
        <f t="shared" si="2"/>
        <v>0</v>
      </c>
      <c r="K11" s="50">
        <f t="shared" si="3"/>
        <v>0</v>
      </c>
    </row>
    <row r="12">
      <c r="B12" s="25"/>
      <c r="C12" s="81" t="s">
        <v>77</v>
      </c>
      <c r="D12" s="25"/>
      <c r="E12" s="25"/>
      <c r="F12" s="25"/>
      <c r="G12" s="86"/>
      <c r="H12" s="87"/>
      <c r="I12" s="86">
        <f t="shared" si="1"/>
        <v>0</v>
      </c>
      <c r="J12" s="88">
        <f t="shared" si="2"/>
        <v>0</v>
      </c>
      <c r="K12" s="50">
        <f t="shared" si="3"/>
        <v>0</v>
      </c>
    </row>
    <row r="13">
      <c r="B13" s="25"/>
      <c r="C13" s="81" t="s">
        <v>77</v>
      </c>
      <c r="D13" s="25"/>
      <c r="E13" s="25"/>
      <c r="F13" s="25"/>
      <c r="G13" s="86"/>
      <c r="H13" s="87"/>
      <c r="I13" s="86">
        <v>0.0</v>
      </c>
      <c r="J13" s="88">
        <f t="shared" si="2"/>
        <v>0</v>
      </c>
      <c r="K13" s="50">
        <f t="shared" si="3"/>
        <v>0</v>
      </c>
    </row>
    <row r="14">
      <c r="B14" s="25"/>
      <c r="C14" s="81" t="s">
        <v>77</v>
      </c>
      <c r="D14" s="25"/>
      <c r="E14" s="25"/>
      <c r="F14" s="25"/>
      <c r="G14" s="86"/>
      <c r="H14" s="87"/>
      <c r="I14" s="86">
        <f t="shared" ref="I14:I28" si="4">G14+G14*(1*H14)</f>
        <v>0</v>
      </c>
      <c r="J14" s="88">
        <f t="shared" si="2"/>
        <v>0</v>
      </c>
      <c r="K14" s="50">
        <f t="shared" si="3"/>
        <v>0</v>
      </c>
    </row>
    <row r="15">
      <c r="B15" s="25"/>
      <c r="C15" s="81" t="s">
        <v>77</v>
      </c>
      <c r="D15" s="25"/>
      <c r="E15" s="25"/>
      <c r="F15" s="25"/>
      <c r="G15" s="86"/>
      <c r="H15" s="87"/>
      <c r="I15" s="86">
        <f t="shared" si="4"/>
        <v>0</v>
      </c>
      <c r="J15" s="88">
        <f t="shared" si="2"/>
        <v>0</v>
      </c>
      <c r="K15" s="50">
        <f t="shared" si="3"/>
        <v>0</v>
      </c>
    </row>
    <row r="16">
      <c r="B16" s="25"/>
      <c r="C16" s="81" t="s">
        <v>77</v>
      </c>
      <c r="D16" s="25"/>
      <c r="E16" s="25"/>
      <c r="F16" s="25"/>
      <c r="G16" s="86"/>
      <c r="H16" s="87"/>
      <c r="I16" s="86">
        <f t="shared" si="4"/>
        <v>0</v>
      </c>
      <c r="J16" s="88">
        <f t="shared" si="2"/>
        <v>0</v>
      </c>
      <c r="K16" s="50">
        <f t="shared" si="3"/>
        <v>0</v>
      </c>
    </row>
    <row r="17">
      <c r="B17" s="25"/>
      <c r="C17" s="81" t="s">
        <v>77</v>
      </c>
      <c r="D17" s="25"/>
      <c r="E17" s="25"/>
      <c r="F17" s="25"/>
      <c r="G17" s="86"/>
      <c r="H17" s="87"/>
      <c r="I17" s="86">
        <f t="shared" si="4"/>
        <v>0</v>
      </c>
      <c r="J17" s="88">
        <f t="shared" si="2"/>
        <v>0</v>
      </c>
      <c r="K17" s="50">
        <f t="shared" si="3"/>
        <v>0</v>
      </c>
    </row>
    <row r="18">
      <c r="B18" s="25"/>
      <c r="C18" s="81" t="s">
        <v>77</v>
      </c>
      <c r="D18" s="25"/>
      <c r="E18" s="25"/>
      <c r="F18" s="25"/>
      <c r="G18" s="86"/>
      <c r="H18" s="87"/>
      <c r="I18" s="86">
        <f t="shared" si="4"/>
        <v>0</v>
      </c>
      <c r="J18" s="88">
        <f t="shared" si="2"/>
        <v>0</v>
      </c>
      <c r="K18" s="50">
        <f t="shared" si="3"/>
        <v>0</v>
      </c>
    </row>
    <row r="19">
      <c r="B19" s="25"/>
      <c r="C19" s="81" t="s">
        <v>77</v>
      </c>
      <c r="D19" s="25"/>
      <c r="E19" s="25"/>
      <c r="F19" s="25"/>
      <c r="G19" s="86"/>
      <c r="H19" s="87"/>
      <c r="I19" s="86">
        <f t="shared" si="4"/>
        <v>0</v>
      </c>
      <c r="J19" s="88">
        <f t="shared" si="2"/>
        <v>0</v>
      </c>
      <c r="K19" s="50">
        <f t="shared" si="3"/>
        <v>0</v>
      </c>
    </row>
    <row r="20">
      <c r="B20" s="25"/>
      <c r="C20" s="81" t="s">
        <v>77</v>
      </c>
      <c r="D20" s="25"/>
      <c r="E20" s="25"/>
      <c r="F20" s="25"/>
      <c r="G20" s="86"/>
      <c r="H20" s="87"/>
      <c r="I20" s="86">
        <f t="shared" si="4"/>
        <v>0</v>
      </c>
      <c r="J20" s="88">
        <f t="shared" si="2"/>
        <v>0</v>
      </c>
      <c r="K20" s="50">
        <f t="shared" si="3"/>
        <v>0</v>
      </c>
    </row>
    <row r="21" ht="15.75" customHeight="1">
      <c r="B21" s="25"/>
      <c r="C21" s="81" t="s">
        <v>77</v>
      </c>
      <c r="D21" s="25"/>
      <c r="E21" s="25"/>
      <c r="F21" s="25"/>
      <c r="G21" s="86"/>
      <c r="H21" s="87"/>
      <c r="I21" s="86">
        <f t="shared" si="4"/>
        <v>0</v>
      </c>
      <c r="J21" s="88">
        <f t="shared" si="2"/>
        <v>0</v>
      </c>
      <c r="K21" s="50">
        <f t="shared" si="3"/>
        <v>0</v>
      </c>
    </row>
    <row r="22" ht="15.75" customHeight="1">
      <c r="B22" s="25"/>
      <c r="C22" s="81" t="s">
        <v>77</v>
      </c>
      <c r="D22" s="25"/>
      <c r="E22" s="25"/>
      <c r="F22" s="25"/>
      <c r="G22" s="86"/>
      <c r="H22" s="87"/>
      <c r="I22" s="86">
        <f t="shared" si="4"/>
        <v>0</v>
      </c>
      <c r="J22" s="88">
        <f t="shared" si="2"/>
        <v>0</v>
      </c>
      <c r="K22" s="50">
        <f t="shared" si="3"/>
        <v>0</v>
      </c>
    </row>
    <row r="23" ht="15.75" customHeight="1">
      <c r="B23" s="25"/>
      <c r="C23" s="81" t="s">
        <v>77</v>
      </c>
      <c r="D23" s="25"/>
      <c r="E23" s="25"/>
      <c r="F23" s="25"/>
      <c r="G23" s="86"/>
      <c r="H23" s="87"/>
      <c r="I23" s="86">
        <f t="shared" si="4"/>
        <v>0</v>
      </c>
      <c r="J23" s="88">
        <f t="shared" si="2"/>
        <v>0</v>
      </c>
      <c r="K23" s="50">
        <f t="shared" si="3"/>
        <v>0</v>
      </c>
    </row>
    <row r="24" ht="15.75" customHeight="1">
      <c r="B24" s="25"/>
      <c r="C24" s="81" t="s">
        <v>77</v>
      </c>
      <c r="D24" s="25"/>
      <c r="E24" s="25"/>
      <c r="F24" s="25"/>
      <c r="G24" s="86"/>
      <c r="H24" s="87"/>
      <c r="I24" s="86">
        <f t="shared" si="4"/>
        <v>0</v>
      </c>
      <c r="J24" s="88">
        <f t="shared" si="2"/>
        <v>0</v>
      </c>
      <c r="K24" s="50">
        <f t="shared" si="3"/>
        <v>0</v>
      </c>
    </row>
    <row r="25" ht="15.75" customHeight="1">
      <c r="B25" s="25"/>
      <c r="C25" s="81" t="s">
        <v>77</v>
      </c>
      <c r="D25" s="25"/>
      <c r="E25" s="25"/>
      <c r="F25" s="25"/>
      <c r="G25" s="86"/>
      <c r="H25" s="87"/>
      <c r="I25" s="86">
        <f t="shared" si="4"/>
        <v>0</v>
      </c>
      <c r="J25" s="88">
        <f t="shared" si="2"/>
        <v>0</v>
      </c>
      <c r="K25" s="50">
        <f t="shared" si="3"/>
        <v>0</v>
      </c>
    </row>
    <row r="26" ht="15.75" customHeight="1">
      <c r="B26" s="25"/>
      <c r="C26" s="81" t="s">
        <v>77</v>
      </c>
      <c r="D26" s="25"/>
      <c r="E26" s="25"/>
      <c r="F26" s="25"/>
      <c r="G26" s="86"/>
      <c r="H26" s="87"/>
      <c r="I26" s="86">
        <f t="shared" si="4"/>
        <v>0</v>
      </c>
      <c r="J26" s="88">
        <f t="shared" si="2"/>
        <v>0</v>
      </c>
      <c r="K26" s="50">
        <f t="shared" si="3"/>
        <v>0</v>
      </c>
    </row>
    <row r="27" ht="15.75" customHeight="1">
      <c r="B27" s="25"/>
      <c r="C27" s="81" t="s">
        <v>77</v>
      </c>
      <c r="D27" s="25"/>
      <c r="E27" s="25"/>
      <c r="F27" s="25"/>
      <c r="G27" s="86"/>
      <c r="H27" s="87"/>
      <c r="I27" s="86">
        <f t="shared" si="4"/>
        <v>0</v>
      </c>
      <c r="J27" s="88">
        <f t="shared" si="2"/>
        <v>0</v>
      </c>
      <c r="K27" s="50">
        <f t="shared" si="3"/>
        <v>0</v>
      </c>
    </row>
    <row r="28" ht="15.75" customHeight="1">
      <c r="B28" s="25"/>
      <c r="C28" s="81" t="s">
        <v>77</v>
      </c>
      <c r="D28" s="25"/>
      <c r="E28" s="25"/>
      <c r="F28" s="25"/>
      <c r="G28" s="86"/>
      <c r="H28" s="87"/>
      <c r="I28" s="86">
        <f t="shared" si="4"/>
        <v>0</v>
      </c>
      <c r="J28" s="88">
        <f t="shared" si="2"/>
        <v>0</v>
      </c>
      <c r="K28" s="50">
        <f t="shared" si="3"/>
        <v>0</v>
      </c>
    </row>
    <row r="29" ht="15.75" customHeight="1"/>
    <row r="30" ht="15.75" customHeight="1">
      <c r="J30" s="89" t="s">
        <v>63</v>
      </c>
      <c r="K30" s="90">
        <f>SUM(K9:K28)</f>
        <v>539</v>
      </c>
    </row>
    <row r="31" ht="15.75" customHeight="1"/>
    <row r="32" ht="15.75" customHeight="1"/>
    <row r="33" ht="15.75" customHeight="1">
      <c r="B33" s="91" t="s">
        <v>89</v>
      </c>
      <c r="C33" s="60"/>
      <c r="D33" s="60"/>
      <c r="E33" s="60"/>
      <c r="F33" s="60"/>
      <c r="G33" s="61"/>
    </row>
    <row r="34" ht="15.75" customHeight="1">
      <c r="B34" s="92" t="s">
        <v>90</v>
      </c>
      <c r="C34" s="93"/>
      <c r="D34" s="93"/>
      <c r="E34" s="94"/>
      <c r="F34" s="92" t="s">
        <v>91</v>
      </c>
      <c r="G34" s="94"/>
    </row>
    <row r="35" ht="15.75" customHeight="1">
      <c r="B35" s="95" t="s">
        <v>92</v>
      </c>
      <c r="C35" s="2"/>
      <c r="D35" s="2"/>
      <c r="E35" s="3"/>
      <c r="F35" s="95" t="s">
        <v>93</v>
      </c>
      <c r="G35" s="3"/>
    </row>
    <row r="36" ht="15.75" customHeight="1">
      <c r="B36" s="95" t="s">
        <v>94</v>
      </c>
      <c r="C36" s="2"/>
      <c r="D36" s="2"/>
      <c r="E36" s="3"/>
      <c r="F36" s="25" t="s">
        <v>95</v>
      </c>
      <c r="G36" s="25"/>
    </row>
    <row r="37" ht="15.75" customHeight="1">
      <c r="B37" s="95" t="s">
        <v>96</v>
      </c>
      <c r="C37" s="2"/>
      <c r="D37" s="2"/>
      <c r="E37" s="3"/>
      <c r="F37" s="95" t="s">
        <v>97</v>
      </c>
      <c r="G37" s="3"/>
    </row>
    <row r="38" ht="15.75" customHeight="1">
      <c r="B38" s="95" t="s">
        <v>98</v>
      </c>
      <c r="C38" s="2"/>
      <c r="D38" s="2"/>
      <c r="E38" s="3"/>
      <c r="F38" s="95" t="s">
        <v>99</v>
      </c>
      <c r="G38" s="3"/>
    </row>
    <row r="39" ht="15.75" customHeight="1">
      <c r="B39" s="95" t="s">
        <v>100</v>
      </c>
      <c r="C39" s="2"/>
      <c r="D39" s="2"/>
      <c r="E39" s="3"/>
      <c r="F39" s="95" t="s">
        <v>99</v>
      </c>
      <c r="G39" s="3"/>
    </row>
    <row r="40" ht="15.75" customHeight="1">
      <c r="B40" s="95" t="s">
        <v>101</v>
      </c>
      <c r="C40" s="2"/>
      <c r="D40" s="2"/>
      <c r="E40" s="3"/>
      <c r="F40" s="95" t="s">
        <v>99</v>
      </c>
      <c r="G40" s="3"/>
    </row>
    <row r="41" ht="15.75" customHeight="1">
      <c r="B41" s="95"/>
      <c r="C41" s="2"/>
      <c r="D41" s="2"/>
      <c r="E41" s="3"/>
      <c r="F41" s="95"/>
      <c r="G41" s="3"/>
    </row>
    <row r="42" ht="15.75" customHeight="1">
      <c r="B42" s="95"/>
      <c r="C42" s="2"/>
      <c r="D42" s="2"/>
      <c r="E42" s="3"/>
      <c r="F42" s="95"/>
      <c r="G42" s="3"/>
    </row>
    <row r="43" ht="15.75" customHeight="1">
      <c r="B43" s="95"/>
      <c r="C43" s="2"/>
      <c r="D43" s="2"/>
      <c r="E43" s="3"/>
      <c r="F43" s="95"/>
      <c r="G43" s="3"/>
    </row>
    <row r="44" ht="15.75" customHeight="1"/>
    <row r="45" ht="15.75" customHeight="1"/>
    <row r="46" ht="15.75" customHeight="1">
      <c r="B46" s="91" t="s">
        <v>102</v>
      </c>
      <c r="C46" s="60"/>
      <c r="D46" s="61"/>
    </row>
    <row r="47" ht="15.75" customHeight="1">
      <c r="B47" s="81" t="s">
        <v>103</v>
      </c>
      <c r="C47" s="92" t="s">
        <v>104</v>
      </c>
      <c r="D47" s="94"/>
    </row>
    <row r="48" ht="15.75" customHeight="1"/>
    <row r="49" ht="15.75" customHeight="1"/>
    <row r="50" ht="15.75" customHeight="1"/>
    <row r="51" ht="15.75" customHeight="1"/>
    <row r="52" ht="15.75" customHeight="1">
      <c r="B52" s="91" t="s">
        <v>105</v>
      </c>
      <c r="C52" s="60"/>
      <c r="D52" s="60"/>
      <c r="E52" s="61"/>
    </row>
    <row r="53" ht="15.75" customHeight="1">
      <c r="B53" s="96" t="s">
        <v>106</v>
      </c>
      <c r="C53" s="94"/>
      <c r="D53" s="96" t="s">
        <v>83</v>
      </c>
      <c r="E53" s="94"/>
    </row>
    <row r="54" ht="15.75" customHeight="1">
      <c r="B54" s="95" t="s">
        <v>107</v>
      </c>
      <c r="C54" s="3"/>
      <c r="D54" s="25" t="s">
        <v>108</v>
      </c>
      <c r="E54" s="25" t="s">
        <v>109</v>
      </c>
    </row>
    <row r="55" ht="15.75" customHeight="1">
      <c r="B55" s="95" t="s">
        <v>110</v>
      </c>
      <c r="C55" s="3"/>
      <c r="D55" s="25" t="s">
        <v>111</v>
      </c>
      <c r="E55" s="25" t="s">
        <v>112</v>
      </c>
    </row>
    <row r="56" ht="15.75" customHeight="1"/>
    <row r="57" ht="15.75" customHeight="1"/>
    <row r="58" ht="15.75" customHeight="1"/>
    <row r="59" ht="15.75" customHeight="1">
      <c r="B59" s="91" t="s">
        <v>113</v>
      </c>
      <c r="C59" s="60"/>
      <c r="D59" s="60"/>
      <c r="E59" s="61"/>
    </row>
    <row r="60" ht="15.75" customHeight="1">
      <c r="C60" s="38"/>
      <c r="D60" s="38"/>
      <c r="E60" s="39"/>
    </row>
    <row r="61" ht="15.75" customHeight="1">
      <c r="B61" s="97" t="s">
        <v>114</v>
      </c>
      <c r="C61" s="3"/>
      <c r="D61" s="98">
        <v>1200.0</v>
      </c>
      <c r="E61" s="3"/>
    </row>
    <row r="62" ht="15.75" customHeight="1">
      <c r="B62" s="99" t="s">
        <v>115</v>
      </c>
      <c r="C62" s="99"/>
      <c r="D62" s="100">
        <v>150.0</v>
      </c>
      <c r="E62" s="3"/>
    </row>
    <row r="63" ht="15.75" customHeight="1">
      <c r="B63" s="101" t="s">
        <v>116</v>
      </c>
      <c r="C63" s="3"/>
      <c r="D63" s="100">
        <v>170.0</v>
      </c>
      <c r="E63" s="3"/>
    </row>
    <row r="64" ht="15.75" customHeight="1">
      <c r="B64" s="102"/>
      <c r="C64" s="3"/>
      <c r="D64" s="100"/>
      <c r="E64" s="3"/>
    </row>
    <row r="65" ht="15.75" customHeight="1">
      <c r="B65" s="102"/>
      <c r="C65" s="3"/>
      <c r="D65" s="100"/>
      <c r="E65" s="3"/>
    </row>
    <row r="66" ht="15.75" customHeight="1">
      <c r="B66" s="102" t="s">
        <v>117</v>
      </c>
      <c r="C66" s="3"/>
      <c r="D66" s="100">
        <v>250.0</v>
      </c>
      <c r="E66" s="3"/>
    </row>
    <row r="67" ht="15.75" customHeight="1">
      <c r="B67" s="95"/>
      <c r="C67" s="3"/>
      <c r="D67" s="98"/>
      <c r="E67" s="3"/>
    </row>
    <row r="68" ht="15.75" customHeight="1">
      <c r="B68" s="95"/>
      <c r="C68" s="3"/>
      <c r="D68" s="98"/>
      <c r="E68" s="3"/>
    </row>
    <row r="69" ht="15.75" customHeight="1">
      <c r="B69" s="95" t="s">
        <v>118</v>
      </c>
      <c r="C69" s="3"/>
      <c r="D69" s="98" t="s">
        <v>119</v>
      </c>
      <c r="E69" s="3"/>
    </row>
    <row r="70" ht="15.75" customHeight="1">
      <c r="B70" s="95"/>
      <c r="C70" s="3"/>
      <c r="D70" s="98"/>
      <c r="E70" s="3"/>
    </row>
    <row r="71" ht="15.75" customHeight="1">
      <c r="B71" s="95"/>
      <c r="C71" s="3"/>
      <c r="D71" s="98"/>
      <c r="E71" s="3"/>
    </row>
    <row r="72" ht="15.75" customHeight="1">
      <c r="B72" s="95" t="s">
        <v>120</v>
      </c>
      <c r="C72" s="3"/>
      <c r="D72" s="98">
        <v>50.0</v>
      </c>
      <c r="E72" s="3"/>
    </row>
    <row r="73" ht="15.75" customHeight="1">
      <c r="B73" s="103"/>
      <c r="C73" s="3"/>
      <c r="D73" s="104"/>
      <c r="E73" s="3"/>
    </row>
    <row r="74" ht="15.75" customHeight="1">
      <c r="B74" s="103"/>
      <c r="C74" s="3"/>
      <c r="D74" s="104"/>
      <c r="E74" s="3"/>
    </row>
    <row r="75" ht="15.75" customHeight="1">
      <c r="B75" s="102" t="s">
        <v>121</v>
      </c>
      <c r="C75" s="3"/>
      <c r="D75" s="100">
        <v>150.0</v>
      </c>
      <c r="E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D70:E70"/>
    <mergeCell ref="D71:E71"/>
    <mergeCell ref="D63:E63"/>
    <mergeCell ref="D64:E64"/>
    <mergeCell ref="D65:E65"/>
    <mergeCell ref="D66:E66"/>
    <mergeCell ref="D67:E67"/>
    <mergeCell ref="D68:E68"/>
    <mergeCell ref="D69:E69"/>
    <mergeCell ref="F2:H2"/>
    <mergeCell ref="J2:K2"/>
    <mergeCell ref="B6:B7"/>
    <mergeCell ref="B33:G33"/>
    <mergeCell ref="B34:E34"/>
    <mergeCell ref="F34:G34"/>
    <mergeCell ref="F35:G35"/>
    <mergeCell ref="B35:E35"/>
    <mergeCell ref="B36:E36"/>
    <mergeCell ref="B37:E37"/>
    <mergeCell ref="F37:G37"/>
    <mergeCell ref="B38:E38"/>
    <mergeCell ref="F38:G38"/>
    <mergeCell ref="F39:G39"/>
    <mergeCell ref="B39:E39"/>
    <mergeCell ref="B40:E40"/>
    <mergeCell ref="F40:G40"/>
    <mergeCell ref="B41:E41"/>
    <mergeCell ref="F41:G41"/>
    <mergeCell ref="B42:E42"/>
    <mergeCell ref="F42:G42"/>
    <mergeCell ref="B43:E43"/>
    <mergeCell ref="F43:G43"/>
    <mergeCell ref="B44:E44"/>
    <mergeCell ref="F44:G44"/>
    <mergeCell ref="B46:D46"/>
    <mergeCell ref="C47:D47"/>
    <mergeCell ref="B52:E52"/>
    <mergeCell ref="B53:C53"/>
    <mergeCell ref="D53:E53"/>
    <mergeCell ref="B54:C54"/>
    <mergeCell ref="B55:C55"/>
    <mergeCell ref="B59:E59"/>
    <mergeCell ref="D61:E61"/>
    <mergeCell ref="D62:E62"/>
    <mergeCell ref="B61:C61"/>
    <mergeCell ref="B63:C63"/>
    <mergeCell ref="B64:C64"/>
    <mergeCell ref="B65:C65"/>
    <mergeCell ref="B66:C66"/>
    <mergeCell ref="B67:C67"/>
    <mergeCell ref="B68:C68"/>
    <mergeCell ref="B74:C74"/>
    <mergeCell ref="D74:E74"/>
    <mergeCell ref="B75:C75"/>
    <mergeCell ref="D75:E75"/>
    <mergeCell ref="B69:C69"/>
    <mergeCell ref="B70:C70"/>
    <mergeCell ref="B71:C71"/>
    <mergeCell ref="B72:C72"/>
    <mergeCell ref="D72:E72"/>
    <mergeCell ref="B73:C73"/>
    <mergeCell ref="D73:E73"/>
  </mergeCells>
  <conditionalFormatting sqref="K10:K28">
    <cfRule type="containsBlanks" dxfId="0" priority="1">
      <formula>LEN(TRIM(K10))=0</formula>
    </cfRule>
  </conditionalFormatting>
  <dataValidations>
    <dataValidation type="list" allowBlank="1" showErrorMessage="1" sqref="C9:C28">
      <formula1>"Battente,Scorrevole interna,Scorrevole esterna,Altro"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49.33"/>
    <col customWidth="1" min="3" max="3" width="48.33"/>
    <col customWidth="1" min="4" max="4" width="23.0"/>
    <col customWidth="1" min="5" max="5" width="11.78"/>
    <col customWidth="1" min="6" max="6" width="14.33"/>
    <col customWidth="1" min="7" max="7" width="6.22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>
      <c r="D14" s="105"/>
      <c r="E14" s="106">
        <v>0.5</v>
      </c>
      <c r="F14" s="105">
        <f t="shared" ref="F14:F31" si="1">D14+D14*(1*E14)</f>
        <v>0</v>
      </c>
    </row>
    <row r="15" ht="15.75" customHeight="1">
      <c r="D15" s="105"/>
      <c r="E15" s="106">
        <v>0.5</v>
      </c>
      <c r="F15" s="105">
        <f t="shared" si="1"/>
        <v>0</v>
      </c>
    </row>
    <row r="16" ht="15.75" customHeight="1">
      <c r="D16" s="105"/>
      <c r="E16" s="106">
        <v>0.5</v>
      </c>
      <c r="F16" s="105">
        <f t="shared" si="1"/>
        <v>0</v>
      </c>
    </row>
    <row r="17" ht="15.75" customHeight="1">
      <c r="B17" s="58" t="s">
        <v>122</v>
      </c>
      <c r="D17" s="105"/>
      <c r="E17" s="106">
        <v>0.5</v>
      </c>
      <c r="F17" s="105">
        <f t="shared" si="1"/>
        <v>0</v>
      </c>
    </row>
    <row r="18" ht="15.75" customHeight="1">
      <c r="B18" s="58" t="s">
        <v>123</v>
      </c>
      <c r="C18" s="58" t="s">
        <v>124</v>
      </c>
      <c r="D18" s="105" t="s">
        <v>125</v>
      </c>
      <c r="E18" s="106">
        <v>0.5</v>
      </c>
      <c r="F18" s="58" t="str">
        <f t="shared" si="1"/>
        <v>#VALUE!</v>
      </c>
      <c r="G18" s="58"/>
    </row>
    <row r="19" ht="15.75" customHeight="1">
      <c r="B19" s="58" t="s">
        <v>126</v>
      </c>
      <c r="C19" s="58" t="s">
        <v>127</v>
      </c>
      <c r="D19" s="105" t="s">
        <v>128</v>
      </c>
      <c r="E19" s="106">
        <v>0.5</v>
      </c>
      <c r="F19" s="58" t="str">
        <f t="shared" si="1"/>
        <v>#VALUE!</v>
      </c>
      <c r="G19" s="58"/>
    </row>
    <row r="20" ht="15.75" customHeight="1">
      <c r="B20" s="107" t="s">
        <v>129</v>
      </c>
      <c r="D20" s="108" t="s">
        <v>130</v>
      </c>
      <c r="E20" s="106">
        <v>0.5</v>
      </c>
      <c r="F20" s="105" t="str">
        <f t="shared" si="1"/>
        <v>#VALUE!</v>
      </c>
    </row>
    <row r="21" ht="15.75" customHeight="1">
      <c r="B21" s="107" t="s">
        <v>131</v>
      </c>
      <c r="D21" s="108" t="s">
        <v>132</v>
      </c>
      <c r="E21" s="106">
        <v>0.5</v>
      </c>
      <c r="F21" s="105" t="str">
        <f t="shared" si="1"/>
        <v>#VALUE!</v>
      </c>
    </row>
    <row r="22" ht="15.75" customHeight="1">
      <c r="B22" s="58" t="s">
        <v>133</v>
      </c>
      <c r="D22" s="105"/>
      <c r="E22" s="106">
        <v>0.5</v>
      </c>
      <c r="F22" s="105">
        <f t="shared" si="1"/>
        <v>0</v>
      </c>
    </row>
    <row r="23" ht="15.75" customHeight="1">
      <c r="B23" s="58" t="s">
        <v>134</v>
      </c>
      <c r="C23" s="58" t="s">
        <v>135</v>
      </c>
      <c r="D23" s="105" t="s">
        <v>136</v>
      </c>
      <c r="E23" s="106">
        <v>0.5</v>
      </c>
      <c r="F23" s="58" t="str">
        <f t="shared" si="1"/>
        <v>#VALUE!</v>
      </c>
      <c r="G23" s="58"/>
    </row>
    <row r="24" ht="15.75" customHeight="1">
      <c r="B24" s="58" t="s">
        <v>137</v>
      </c>
      <c r="C24" s="58" t="s">
        <v>138</v>
      </c>
      <c r="D24" s="105" t="s">
        <v>109</v>
      </c>
      <c r="E24" s="106">
        <v>0.5</v>
      </c>
      <c r="F24" s="58" t="str">
        <f t="shared" si="1"/>
        <v>#VALUE!</v>
      </c>
      <c r="G24" s="58"/>
    </row>
    <row r="25" ht="15.75" customHeight="1">
      <c r="B25" s="58" t="s">
        <v>139</v>
      </c>
      <c r="C25" s="58" t="s">
        <v>140</v>
      </c>
      <c r="D25" s="105" t="s">
        <v>141</v>
      </c>
      <c r="E25" s="106">
        <v>0.5</v>
      </c>
      <c r="F25" s="58" t="str">
        <f t="shared" si="1"/>
        <v>#VALUE!</v>
      </c>
      <c r="G25" s="58"/>
    </row>
    <row r="26" ht="15.75" customHeight="1">
      <c r="B26" s="58" t="s">
        <v>142</v>
      </c>
      <c r="C26" s="58" t="s">
        <v>143</v>
      </c>
      <c r="D26" s="105" t="s">
        <v>144</v>
      </c>
      <c r="E26" s="106">
        <v>0.5</v>
      </c>
      <c r="F26" s="58" t="str">
        <f t="shared" si="1"/>
        <v>#VALUE!</v>
      </c>
      <c r="G26" s="58"/>
    </row>
    <row r="27" ht="15.75" customHeight="1">
      <c r="B27" s="58" t="s">
        <v>145</v>
      </c>
      <c r="C27" s="58" t="s">
        <v>146</v>
      </c>
      <c r="D27" s="105" t="s">
        <v>147</v>
      </c>
      <c r="E27" s="106">
        <v>0.5</v>
      </c>
      <c r="F27" s="58" t="str">
        <f t="shared" si="1"/>
        <v>#VALUE!</v>
      </c>
      <c r="G27" s="58"/>
    </row>
    <row r="28" ht="15.75" customHeight="1">
      <c r="B28" s="58" t="s">
        <v>148</v>
      </c>
      <c r="C28" s="58" t="s">
        <v>149</v>
      </c>
      <c r="D28" s="105" t="s">
        <v>136</v>
      </c>
      <c r="E28" s="106">
        <v>0.5</v>
      </c>
      <c r="F28" s="58" t="str">
        <f t="shared" si="1"/>
        <v>#VALUE!</v>
      </c>
      <c r="G28" s="58"/>
    </row>
    <row r="29" ht="15.75" customHeight="1">
      <c r="B29" s="58" t="s">
        <v>150</v>
      </c>
      <c r="C29" s="58" t="s">
        <v>151</v>
      </c>
      <c r="D29" s="105" t="s">
        <v>152</v>
      </c>
      <c r="E29" s="106">
        <v>0.5</v>
      </c>
      <c r="F29" s="58" t="str">
        <f t="shared" si="1"/>
        <v>#VALUE!</v>
      </c>
      <c r="G29" s="58"/>
    </row>
    <row r="30" ht="15.75" customHeight="1">
      <c r="B30" s="58" t="s">
        <v>153</v>
      </c>
      <c r="C30" s="58" t="s">
        <v>154</v>
      </c>
      <c r="D30" s="105">
        <v>24.0</v>
      </c>
      <c r="E30" s="106">
        <v>0.5</v>
      </c>
      <c r="F30" s="105">
        <f t="shared" si="1"/>
        <v>36</v>
      </c>
      <c r="G30" s="58"/>
    </row>
    <row r="31" ht="15.75" customHeight="1">
      <c r="B31" s="58" t="s">
        <v>155</v>
      </c>
      <c r="C31" s="58" t="s">
        <v>154</v>
      </c>
      <c r="D31" s="105">
        <v>25.0</v>
      </c>
      <c r="E31" s="106">
        <v>0.5</v>
      </c>
      <c r="F31" s="105">
        <f t="shared" si="1"/>
        <v>37.5</v>
      </c>
      <c r="G31" s="58"/>
    </row>
    <row r="32" ht="15.75" customHeight="1">
      <c r="B32" s="58" t="s">
        <v>156</v>
      </c>
      <c r="C32" s="58" t="s">
        <v>157</v>
      </c>
      <c r="D32" s="105">
        <v>550.0</v>
      </c>
      <c r="E32" s="106"/>
      <c r="F32" s="58"/>
    </row>
    <row r="33" ht="15.75" customHeight="1">
      <c r="D33" s="105"/>
      <c r="E33" s="106">
        <v>0.5</v>
      </c>
      <c r="F33" s="105">
        <f t="shared" ref="F33:F64" si="2">D33+D33*(1*E33)</f>
        <v>0</v>
      </c>
    </row>
    <row r="34" ht="15.75" customHeight="1">
      <c r="D34" s="105"/>
      <c r="E34" s="106">
        <v>0.5</v>
      </c>
      <c r="F34" s="105">
        <f t="shared" si="2"/>
        <v>0</v>
      </c>
    </row>
    <row r="35" ht="15.75" customHeight="1">
      <c r="B35" s="58" t="s">
        <v>158</v>
      </c>
      <c r="D35" s="105"/>
      <c r="E35" s="106">
        <v>0.5</v>
      </c>
      <c r="F35" s="105">
        <f t="shared" si="2"/>
        <v>0</v>
      </c>
    </row>
    <row r="36" ht="15.75" customHeight="1">
      <c r="B36" s="58" t="s">
        <v>159</v>
      </c>
      <c r="C36" s="58" t="s">
        <v>160</v>
      </c>
      <c r="D36" s="105" t="s">
        <v>161</v>
      </c>
      <c r="E36" s="106">
        <v>0.5</v>
      </c>
      <c r="F36" s="58" t="str">
        <f t="shared" si="2"/>
        <v>#VALUE!</v>
      </c>
      <c r="G36" s="58"/>
    </row>
    <row r="37" ht="15.75" customHeight="1">
      <c r="B37" s="58" t="s">
        <v>162</v>
      </c>
      <c r="C37" s="58" t="s">
        <v>163</v>
      </c>
      <c r="D37" s="105" t="s">
        <v>164</v>
      </c>
      <c r="E37" s="106">
        <v>0.5</v>
      </c>
      <c r="F37" s="58" t="str">
        <f t="shared" si="2"/>
        <v>#VALUE!</v>
      </c>
      <c r="G37" s="58"/>
    </row>
    <row r="38" ht="15.75" customHeight="1">
      <c r="B38" s="58" t="s">
        <v>165</v>
      </c>
      <c r="C38" s="58" t="s">
        <v>166</v>
      </c>
      <c r="D38" s="105" t="s">
        <v>167</v>
      </c>
      <c r="E38" s="106">
        <v>0.5</v>
      </c>
      <c r="F38" s="58" t="str">
        <f t="shared" si="2"/>
        <v>#VALUE!</v>
      </c>
      <c r="G38" s="58"/>
    </row>
    <row r="39" ht="15.75" customHeight="1">
      <c r="B39" s="58" t="s">
        <v>168</v>
      </c>
      <c r="C39" s="58" t="s">
        <v>169</v>
      </c>
      <c r="D39" s="105" t="s">
        <v>170</v>
      </c>
      <c r="E39" s="106">
        <v>0.5</v>
      </c>
      <c r="F39" s="58" t="str">
        <f t="shared" si="2"/>
        <v>#VALUE!</v>
      </c>
      <c r="G39" s="58"/>
    </row>
    <row r="40" ht="15.75" customHeight="1">
      <c r="B40" s="58" t="s">
        <v>171</v>
      </c>
      <c r="C40" s="58" t="s">
        <v>172</v>
      </c>
      <c r="D40" s="105" t="s">
        <v>173</v>
      </c>
      <c r="E40" s="106">
        <v>0.5</v>
      </c>
      <c r="F40" s="58" t="str">
        <f t="shared" si="2"/>
        <v>#VALUE!</v>
      </c>
      <c r="G40" s="58"/>
    </row>
    <row r="41" ht="15.75" customHeight="1">
      <c r="B41" s="58" t="s">
        <v>174</v>
      </c>
      <c r="C41" s="58" t="s">
        <v>175</v>
      </c>
      <c r="D41" s="105" t="s">
        <v>173</v>
      </c>
      <c r="E41" s="106">
        <v>0.5</v>
      </c>
      <c r="F41" s="58" t="str">
        <f t="shared" si="2"/>
        <v>#VALUE!</v>
      </c>
      <c r="G41" s="58"/>
    </row>
    <row r="42" ht="15.75" customHeight="1">
      <c r="B42" s="58" t="s">
        <v>176</v>
      </c>
      <c r="C42" s="58" t="s">
        <v>177</v>
      </c>
      <c r="D42" s="105" t="s">
        <v>178</v>
      </c>
      <c r="E42" s="106">
        <v>0.5</v>
      </c>
      <c r="F42" s="58" t="str">
        <f t="shared" si="2"/>
        <v>#VALUE!</v>
      </c>
      <c r="G42" s="58"/>
    </row>
    <row r="43" ht="15.75" customHeight="1">
      <c r="B43" s="58" t="s">
        <v>179</v>
      </c>
      <c r="C43" s="58" t="s">
        <v>180</v>
      </c>
      <c r="D43" s="105">
        <v>24.0</v>
      </c>
      <c r="E43" s="106">
        <v>0.5</v>
      </c>
      <c r="F43" s="105">
        <f t="shared" si="2"/>
        <v>36</v>
      </c>
      <c r="G43" s="58"/>
    </row>
    <row r="44" ht="15.75" customHeight="1">
      <c r="B44" s="58" t="s">
        <v>181</v>
      </c>
      <c r="C44" s="58" t="s">
        <v>182</v>
      </c>
      <c r="D44" s="105" t="s">
        <v>183</v>
      </c>
      <c r="E44" s="106">
        <v>0.5</v>
      </c>
      <c r="F44" s="58" t="str">
        <f t="shared" si="2"/>
        <v>#VALUE!</v>
      </c>
      <c r="G44" s="58"/>
    </row>
    <row r="45" ht="15.75" customHeight="1">
      <c r="B45" s="58" t="s">
        <v>184</v>
      </c>
      <c r="C45" s="58" t="s">
        <v>185</v>
      </c>
      <c r="D45" s="105">
        <v>15.0</v>
      </c>
      <c r="E45" s="106">
        <v>0.5</v>
      </c>
      <c r="F45" s="105">
        <f t="shared" si="2"/>
        <v>22.5</v>
      </c>
      <c r="G45" s="58"/>
    </row>
    <row r="46" ht="15.75" customHeight="1">
      <c r="B46" s="58" t="s">
        <v>186</v>
      </c>
      <c r="C46" s="58" t="s">
        <v>187</v>
      </c>
      <c r="D46" s="105" t="s">
        <v>188</v>
      </c>
      <c r="E46" s="106">
        <v>0.5</v>
      </c>
      <c r="F46" s="58" t="str">
        <f t="shared" si="2"/>
        <v>#VALUE!</v>
      </c>
      <c r="G46" s="58"/>
    </row>
    <row r="47" ht="15.75" customHeight="1">
      <c r="B47" s="58" t="s">
        <v>189</v>
      </c>
      <c r="C47" s="58" t="s">
        <v>190</v>
      </c>
      <c r="D47" s="105" t="s">
        <v>191</v>
      </c>
      <c r="E47" s="106">
        <v>0.5</v>
      </c>
      <c r="F47" s="58" t="str">
        <f t="shared" si="2"/>
        <v>#VALUE!</v>
      </c>
      <c r="G47" s="58"/>
    </row>
    <row r="48" ht="15.75" customHeight="1">
      <c r="B48" s="58" t="s">
        <v>192</v>
      </c>
      <c r="C48" s="58" t="s">
        <v>193</v>
      </c>
      <c r="D48" s="105" t="s">
        <v>194</v>
      </c>
      <c r="E48" s="106">
        <v>0.5</v>
      </c>
      <c r="F48" s="58" t="str">
        <f t="shared" si="2"/>
        <v>#VALUE!</v>
      </c>
      <c r="G48" s="58"/>
    </row>
    <row r="49" ht="15.75" customHeight="1">
      <c r="B49" s="58" t="s">
        <v>195</v>
      </c>
      <c r="C49" s="58" t="s">
        <v>196</v>
      </c>
      <c r="D49" s="105" t="s">
        <v>197</v>
      </c>
      <c r="E49" s="106">
        <v>0.5</v>
      </c>
      <c r="F49" s="58" t="str">
        <f t="shared" si="2"/>
        <v>#VALUE!</v>
      </c>
      <c r="G49" s="58"/>
    </row>
    <row r="50" ht="15.75" customHeight="1">
      <c r="B50" s="58" t="s">
        <v>198</v>
      </c>
      <c r="C50" s="58" t="s">
        <v>199</v>
      </c>
      <c r="D50" s="105" t="s">
        <v>200</v>
      </c>
      <c r="E50" s="106">
        <v>0.5</v>
      </c>
      <c r="F50" s="58" t="str">
        <f t="shared" si="2"/>
        <v>#VALUE!</v>
      </c>
      <c r="G50" s="58"/>
    </row>
    <row r="51" ht="15.75" customHeight="1">
      <c r="D51" s="105"/>
      <c r="E51" s="106">
        <v>0.5</v>
      </c>
      <c r="F51" s="105">
        <f t="shared" si="2"/>
        <v>0</v>
      </c>
    </row>
    <row r="52" ht="15.75" customHeight="1">
      <c r="B52" s="58" t="s">
        <v>201</v>
      </c>
      <c r="C52" s="58" t="s">
        <v>202</v>
      </c>
      <c r="D52" s="105" t="s">
        <v>152</v>
      </c>
      <c r="E52" s="106">
        <v>0.5</v>
      </c>
      <c r="F52" s="58" t="str">
        <f t="shared" si="2"/>
        <v>#VALUE!</v>
      </c>
      <c r="G52" s="58"/>
    </row>
    <row r="53" ht="15.75" customHeight="1">
      <c r="B53" s="58" t="s">
        <v>203</v>
      </c>
      <c r="C53" s="58" t="s">
        <v>204</v>
      </c>
      <c r="D53" s="105" t="s">
        <v>136</v>
      </c>
      <c r="E53" s="106">
        <v>0.5</v>
      </c>
      <c r="F53" s="58" t="str">
        <f t="shared" si="2"/>
        <v>#VALUE!</v>
      </c>
      <c r="G53" s="58"/>
    </row>
    <row r="54" ht="15.75" customHeight="1">
      <c r="B54" s="58" t="s">
        <v>205</v>
      </c>
      <c r="C54" s="58" t="s">
        <v>206</v>
      </c>
      <c r="D54" s="105" t="s">
        <v>207</v>
      </c>
      <c r="E54" s="106">
        <v>0.5</v>
      </c>
      <c r="F54" s="58" t="str">
        <f t="shared" si="2"/>
        <v>#VALUE!</v>
      </c>
      <c r="G54" s="58"/>
    </row>
    <row r="55" ht="15.75" customHeight="1">
      <c r="D55" s="105"/>
      <c r="E55" s="106">
        <v>0.5</v>
      </c>
      <c r="F55" s="105">
        <f t="shared" si="2"/>
        <v>0</v>
      </c>
    </row>
    <row r="56" ht="15.75" customHeight="1">
      <c r="B56" s="58" t="s">
        <v>208</v>
      </c>
      <c r="C56" s="58" t="s">
        <v>209</v>
      </c>
      <c r="D56" s="105">
        <v>150.0</v>
      </c>
      <c r="E56" s="106">
        <v>0.5</v>
      </c>
      <c r="F56" s="105">
        <f t="shared" si="2"/>
        <v>225</v>
      </c>
      <c r="G56" s="58"/>
    </row>
    <row r="57" ht="15.75" customHeight="1">
      <c r="B57" s="58" t="s">
        <v>210</v>
      </c>
      <c r="C57" s="58" t="s">
        <v>211</v>
      </c>
      <c r="D57" s="105">
        <v>70.0</v>
      </c>
      <c r="E57" s="106">
        <v>0.5</v>
      </c>
      <c r="F57" s="105">
        <f t="shared" si="2"/>
        <v>105</v>
      </c>
      <c r="G57" s="58"/>
    </row>
    <row r="58" ht="15.75" customHeight="1">
      <c r="B58" s="58" t="s">
        <v>212</v>
      </c>
      <c r="C58" s="58" t="s">
        <v>213</v>
      </c>
      <c r="D58" s="105">
        <v>25.0</v>
      </c>
      <c r="E58" s="106">
        <v>0.5</v>
      </c>
      <c r="F58" s="105">
        <f t="shared" si="2"/>
        <v>37.5</v>
      </c>
      <c r="G58" s="58"/>
    </row>
    <row r="59" ht="15.75" customHeight="1">
      <c r="B59" s="58" t="s">
        <v>214</v>
      </c>
      <c r="C59" s="58" t="s">
        <v>215</v>
      </c>
      <c r="D59" s="105" t="s">
        <v>216</v>
      </c>
      <c r="E59" s="106">
        <v>0.5</v>
      </c>
      <c r="F59" s="58" t="str">
        <f t="shared" si="2"/>
        <v>#VALUE!</v>
      </c>
      <c r="G59" s="58"/>
    </row>
    <row r="60" ht="15.75" customHeight="1">
      <c r="B60" s="58" t="s">
        <v>217</v>
      </c>
      <c r="C60" s="58" t="s">
        <v>218</v>
      </c>
      <c r="D60" s="58" t="s">
        <v>219</v>
      </c>
      <c r="E60" s="106">
        <v>0.5</v>
      </c>
      <c r="F60" s="58" t="str">
        <f t="shared" si="2"/>
        <v>#VALUE!</v>
      </c>
    </row>
    <row r="61" ht="15.75" customHeight="1">
      <c r="B61" s="58" t="s">
        <v>220</v>
      </c>
      <c r="C61" s="58"/>
      <c r="D61" s="105">
        <v>52.0</v>
      </c>
      <c r="E61" s="106">
        <v>0.5</v>
      </c>
      <c r="F61" s="105">
        <f t="shared" si="2"/>
        <v>78</v>
      </c>
    </row>
    <row r="62" ht="15.75" customHeight="1">
      <c r="B62" s="58" t="s">
        <v>221</v>
      </c>
      <c r="C62" s="58" t="s">
        <v>222</v>
      </c>
      <c r="D62" s="105">
        <v>55.0</v>
      </c>
      <c r="E62" s="106">
        <v>0.5</v>
      </c>
      <c r="F62" s="105">
        <f t="shared" si="2"/>
        <v>82.5</v>
      </c>
    </row>
    <row r="63" ht="15.75" customHeight="1">
      <c r="B63" s="58" t="s">
        <v>223</v>
      </c>
      <c r="C63" s="58" t="s">
        <v>224</v>
      </c>
      <c r="D63" s="105">
        <v>92.0</v>
      </c>
      <c r="E63" s="106">
        <v>0.5</v>
      </c>
      <c r="F63" s="105">
        <f t="shared" si="2"/>
        <v>138</v>
      </c>
    </row>
    <row r="64" ht="15.75" customHeight="1">
      <c r="B64" s="58" t="s">
        <v>225</v>
      </c>
      <c r="C64" s="58" t="s">
        <v>226</v>
      </c>
      <c r="D64" s="105">
        <v>33.0</v>
      </c>
      <c r="E64" s="106">
        <v>0.5</v>
      </c>
      <c r="F64" s="105">
        <f t="shared" si="2"/>
        <v>49.5</v>
      </c>
    </row>
    <row r="65" ht="15.75" customHeight="1">
      <c r="B65" s="58" t="s">
        <v>227</v>
      </c>
      <c r="C65" s="58" t="s">
        <v>228</v>
      </c>
      <c r="D65" s="105">
        <v>14.0</v>
      </c>
      <c r="E65" s="106">
        <v>0.5</v>
      </c>
      <c r="F65" s="58"/>
    </row>
    <row r="66" ht="15.75" customHeight="1">
      <c r="B66" s="58"/>
      <c r="C66" s="58"/>
      <c r="D66" s="105"/>
      <c r="E66" s="106">
        <v>0.5</v>
      </c>
      <c r="F66" s="58"/>
    </row>
    <row r="67" ht="15.75" customHeight="1">
      <c r="B67" s="58"/>
      <c r="C67" s="58"/>
      <c r="D67" s="105"/>
      <c r="E67" s="106">
        <v>0.5</v>
      </c>
      <c r="F67" s="58"/>
    </row>
    <row r="68" ht="15.75" customHeight="1">
      <c r="B68" s="58"/>
      <c r="C68" s="58"/>
      <c r="D68" s="105"/>
      <c r="E68" s="106">
        <v>0.5</v>
      </c>
      <c r="F68" s="58"/>
    </row>
    <row r="69" ht="15.75" customHeight="1">
      <c r="B69" s="58"/>
      <c r="C69" s="58"/>
      <c r="D69" s="105"/>
      <c r="E69" s="106">
        <v>0.5</v>
      </c>
      <c r="F69" s="58"/>
    </row>
    <row r="70" ht="15.75" customHeight="1">
      <c r="B70" s="58"/>
      <c r="C70" s="58"/>
      <c r="D70" s="105"/>
      <c r="E70" s="106"/>
      <c r="F70" s="58"/>
    </row>
    <row r="71" ht="15.75" customHeight="1">
      <c r="B71" s="58"/>
      <c r="C71" s="58"/>
      <c r="D71" s="105"/>
      <c r="E71" s="106">
        <v>0.5</v>
      </c>
      <c r="F71" s="105">
        <f>D71+D71*(1*E71)</f>
        <v>0</v>
      </c>
    </row>
    <row r="72" ht="15.75" customHeight="1"/>
    <row r="73" ht="15.75" customHeight="1">
      <c r="B73" s="58" t="s">
        <v>229</v>
      </c>
    </row>
    <row r="74" ht="15.75" customHeight="1">
      <c r="C74" s="58" t="s">
        <v>230</v>
      </c>
      <c r="D74" s="58" t="s">
        <v>231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26.11"/>
    <col customWidth="1" min="3" max="3" width="24.78"/>
    <col customWidth="1" min="4" max="6" width="11.22"/>
  </cols>
  <sheetData>
    <row r="3">
      <c r="A3" s="1" t="s">
        <v>0</v>
      </c>
      <c r="B3" s="2"/>
      <c r="C3" s="3"/>
    </row>
    <row r="5">
      <c r="D5" s="109" t="s">
        <v>232</v>
      </c>
      <c r="E5" s="110"/>
      <c r="F5" s="110"/>
      <c r="G5" s="111"/>
    </row>
    <row r="6">
      <c r="A6" s="112" t="s">
        <v>2</v>
      </c>
      <c r="B6" s="112" t="s">
        <v>233</v>
      </c>
      <c r="C6" s="112" t="s">
        <v>234</v>
      </c>
      <c r="D6" s="113" t="s">
        <v>81</v>
      </c>
      <c r="E6" s="113" t="s">
        <v>59</v>
      </c>
      <c r="F6" s="113" t="s">
        <v>235</v>
      </c>
      <c r="G6" s="113" t="s">
        <v>236</v>
      </c>
      <c r="H6" s="113" t="s">
        <v>237</v>
      </c>
      <c r="I6" s="113" t="s">
        <v>11</v>
      </c>
      <c r="J6" s="113" t="s">
        <v>63</v>
      </c>
    </row>
    <row r="7">
      <c r="A7" s="25" t="s">
        <v>238</v>
      </c>
      <c r="B7" s="114" t="s">
        <v>168</v>
      </c>
      <c r="C7" s="25" t="s">
        <v>169</v>
      </c>
      <c r="D7" s="115">
        <v>20.0</v>
      </c>
      <c r="E7" s="116">
        <v>0.5</v>
      </c>
      <c r="F7" s="117">
        <f t="shared" ref="F7:F50" si="1">D7+D7*(1*E7)</f>
        <v>30</v>
      </c>
      <c r="G7" s="118" t="s">
        <v>239</v>
      </c>
      <c r="H7" s="119" t="s">
        <v>239</v>
      </c>
      <c r="I7" s="120">
        <v>2.0</v>
      </c>
      <c r="J7" s="85">
        <f t="shared" ref="J7:J50" si="2">I7*F7</f>
        <v>60</v>
      </c>
    </row>
    <row r="8">
      <c r="A8" s="25" t="s">
        <v>238</v>
      </c>
      <c r="B8" s="25" t="s">
        <v>159</v>
      </c>
      <c r="C8" s="25" t="s">
        <v>160</v>
      </c>
      <c r="D8" s="115">
        <v>6.7</v>
      </c>
      <c r="E8" s="116">
        <v>0.5</v>
      </c>
      <c r="F8" s="117">
        <f t="shared" si="1"/>
        <v>10.05</v>
      </c>
      <c r="G8" s="118" t="s">
        <v>239</v>
      </c>
      <c r="H8" s="119" t="s">
        <v>239</v>
      </c>
      <c r="I8" s="120">
        <v>0.0</v>
      </c>
      <c r="J8" s="85">
        <f t="shared" si="2"/>
        <v>0</v>
      </c>
    </row>
    <row r="9">
      <c r="A9" s="25" t="s">
        <v>238</v>
      </c>
      <c r="B9" s="25" t="s">
        <v>162</v>
      </c>
      <c r="C9" s="114" t="s">
        <v>240</v>
      </c>
      <c r="D9" s="121">
        <v>1.0</v>
      </c>
      <c r="E9" s="122">
        <v>0.5</v>
      </c>
      <c r="F9" s="123">
        <f t="shared" si="1"/>
        <v>1.5</v>
      </c>
      <c r="G9" s="124" t="s">
        <v>239</v>
      </c>
      <c r="H9" s="125" t="s">
        <v>239</v>
      </c>
      <c r="I9" s="126">
        <v>0.0</v>
      </c>
      <c r="J9" s="85">
        <f t="shared" si="2"/>
        <v>0</v>
      </c>
    </row>
    <row r="10">
      <c r="A10" s="25" t="s">
        <v>238</v>
      </c>
      <c r="B10" s="114" t="s">
        <v>241</v>
      </c>
      <c r="C10" s="114" t="s">
        <v>166</v>
      </c>
      <c r="D10" s="121">
        <v>1.0</v>
      </c>
      <c r="E10" s="122">
        <v>0.5</v>
      </c>
      <c r="F10" s="123">
        <f t="shared" si="1"/>
        <v>1.5</v>
      </c>
      <c r="G10" s="124" t="s">
        <v>239</v>
      </c>
      <c r="H10" s="125" t="s">
        <v>239</v>
      </c>
      <c r="I10" s="126">
        <v>0.0</v>
      </c>
      <c r="J10" s="85">
        <f t="shared" si="2"/>
        <v>0</v>
      </c>
    </row>
    <row r="11">
      <c r="A11" s="25" t="s">
        <v>238</v>
      </c>
      <c r="B11" s="114" t="s">
        <v>171</v>
      </c>
      <c r="C11" s="114" t="s">
        <v>172</v>
      </c>
      <c r="D11" s="121">
        <v>18.0</v>
      </c>
      <c r="E11" s="122">
        <v>0.5</v>
      </c>
      <c r="F11" s="123">
        <f t="shared" si="1"/>
        <v>27</v>
      </c>
      <c r="G11" s="124" t="s">
        <v>239</v>
      </c>
      <c r="H11" s="125" t="s">
        <v>239</v>
      </c>
      <c r="I11" s="126">
        <v>0.0</v>
      </c>
      <c r="J11" s="85">
        <f t="shared" si="2"/>
        <v>0</v>
      </c>
    </row>
    <row r="12">
      <c r="A12" s="25" t="s">
        <v>238</v>
      </c>
      <c r="B12" s="114" t="s">
        <v>174</v>
      </c>
      <c r="C12" s="114" t="s">
        <v>175</v>
      </c>
      <c r="D12" s="121">
        <v>18.0</v>
      </c>
      <c r="E12" s="122">
        <v>0.5</v>
      </c>
      <c r="F12" s="123">
        <f t="shared" si="1"/>
        <v>27</v>
      </c>
      <c r="G12" s="124" t="s">
        <v>239</v>
      </c>
      <c r="H12" s="125" t="s">
        <v>239</v>
      </c>
      <c r="I12" s="126">
        <v>0.0</v>
      </c>
      <c r="J12" s="85">
        <f t="shared" si="2"/>
        <v>0</v>
      </c>
    </row>
    <row r="13">
      <c r="A13" s="25" t="s">
        <v>238</v>
      </c>
      <c r="B13" s="114" t="s">
        <v>176</v>
      </c>
      <c r="C13" s="114" t="s">
        <v>177</v>
      </c>
      <c r="D13" s="121">
        <v>21.0</v>
      </c>
      <c r="E13" s="122">
        <v>0.5</v>
      </c>
      <c r="F13" s="123">
        <f t="shared" si="1"/>
        <v>31.5</v>
      </c>
      <c r="G13" s="124" t="s">
        <v>239</v>
      </c>
      <c r="H13" s="125" t="s">
        <v>239</v>
      </c>
      <c r="I13" s="126">
        <v>0.0</v>
      </c>
      <c r="J13" s="85">
        <f t="shared" si="2"/>
        <v>0</v>
      </c>
    </row>
    <row r="14">
      <c r="A14" s="25" t="s">
        <v>238</v>
      </c>
      <c r="B14" s="114" t="s">
        <v>179</v>
      </c>
      <c r="C14" s="114" t="s">
        <v>180</v>
      </c>
      <c r="D14" s="121">
        <v>24.0</v>
      </c>
      <c r="E14" s="122">
        <v>0.5</v>
      </c>
      <c r="F14" s="123">
        <f t="shared" si="1"/>
        <v>36</v>
      </c>
      <c r="G14" s="124" t="s">
        <v>239</v>
      </c>
      <c r="H14" s="125" t="s">
        <v>239</v>
      </c>
      <c r="I14" s="126">
        <v>0.0</v>
      </c>
      <c r="J14" s="85">
        <f t="shared" si="2"/>
        <v>0</v>
      </c>
    </row>
    <row r="15">
      <c r="A15" s="25"/>
      <c r="B15" s="114" t="s">
        <v>181</v>
      </c>
      <c r="C15" s="114" t="s">
        <v>182</v>
      </c>
      <c r="D15" s="121">
        <v>8.0</v>
      </c>
      <c r="E15" s="122">
        <v>0.5</v>
      </c>
      <c r="F15" s="123">
        <f t="shared" si="1"/>
        <v>12</v>
      </c>
      <c r="G15" s="124"/>
      <c r="H15" s="125"/>
      <c r="I15" s="126"/>
      <c r="J15" s="85">
        <f t="shared" si="2"/>
        <v>0</v>
      </c>
    </row>
    <row r="16">
      <c r="A16" s="25"/>
      <c r="B16" s="114" t="s">
        <v>184</v>
      </c>
      <c r="C16" s="114" t="s">
        <v>185</v>
      </c>
      <c r="D16" s="121">
        <v>15.0</v>
      </c>
      <c r="E16" s="122">
        <v>0.5</v>
      </c>
      <c r="F16" s="123">
        <f t="shared" si="1"/>
        <v>22.5</v>
      </c>
      <c r="G16" s="124"/>
      <c r="H16" s="125"/>
      <c r="I16" s="126"/>
      <c r="J16" s="85">
        <f t="shared" si="2"/>
        <v>0</v>
      </c>
    </row>
    <row r="17">
      <c r="A17" s="25"/>
      <c r="B17" s="114" t="s">
        <v>186</v>
      </c>
      <c r="C17" s="114" t="s">
        <v>187</v>
      </c>
      <c r="D17" s="121">
        <v>32.0</v>
      </c>
      <c r="E17" s="122">
        <v>0.5</v>
      </c>
      <c r="F17" s="123">
        <f t="shared" si="1"/>
        <v>48</v>
      </c>
      <c r="G17" s="124"/>
      <c r="H17" s="125"/>
      <c r="I17" s="126"/>
      <c r="J17" s="85">
        <f t="shared" si="2"/>
        <v>0</v>
      </c>
    </row>
    <row r="18">
      <c r="A18" s="25"/>
      <c r="B18" s="114" t="s">
        <v>189</v>
      </c>
      <c r="C18" s="114" t="s">
        <v>242</v>
      </c>
      <c r="D18" s="121">
        <v>10.0</v>
      </c>
      <c r="E18" s="122">
        <v>0.5</v>
      </c>
      <c r="F18" s="123">
        <f t="shared" si="1"/>
        <v>15</v>
      </c>
      <c r="G18" s="124"/>
      <c r="H18" s="125"/>
      <c r="I18" s="126"/>
      <c r="J18" s="85">
        <f t="shared" si="2"/>
        <v>0</v>
      </c>
    </row>
    <row r="19">
      <c r="A19" s="25"/>
      <c r="B19" s="114" t="s">
        <v>192</v>
      </c>
      <c r="C19" s="114" t="s">
        <v>193</v>
      </c>
      <c r="D19" s="121">
        <v>3.8</v>
      </c>
      <c r="E19" s="122">
        <v>0.5</v>
      </c>
      <c r="F19" s="123">
        <f t="shared" si="1"/>
        <v>5.7</v>
      </c>
      <c r="G19" s="124"/>
      <c r="H19" s="125"/>
      <c r="I19" s="126"/>
      <c r="J19" s="85">
        <f t="shared" si="2"/>
        <v>0</v>
      </c>
    </row>
    <row r="20">
      <c r="A20" s="25"/>
      <c r="B20" s="114" t="s">
        <v>195</v>
      </c>
      <c r="C20" s="114" t="s">
        <v>196</v>
      </c>
      <c r="D20" s="121">
        <v>22.0</v>
      </c>
      <c r="E20" s="122">
        <v>0.5</v>
      </c>
      <c r="F20" s="123">
        <f t="shared" si="1"/>
        <v>33</v>
      </c>
      <c r="G20" s="124"/>
      <c r="H20" s="125"/>
      <c r="I20" s="126"/>
      <c r="J20" s="85">
        <f t="shared" si="2"/>
        <v>0</v>
      </c>
    </row>
    <row r="21" ht="15.75" customHeight="1">
      <c r="A21" s="25"/>
      <c r="B21" s="114" t="s">
        <v>198</v>
      </c>
      <c r="C21" s="114" t="s">
        <v>199</v>
      </c>
      <c r="D21" s="121">
        <v>16.0</v>
      </c>
      <c r="E21" s="122">
        <v>0.5</v>
      </c>
      <c r="F21" s="123">
        <f t="shared" si="1"/>
        <v>24</v>
      </c>
      <c r="G21" s="124"/>
      <c r="H21" s="125"/>
      <c r="I21" s="126"/>
      <c r="J21" s="85">
        <f t="shared" si="2"/>
        <v>0</v>
      </c>
    </row>
    <row r="22" ht="15.75" customHeight="1">
      <c r="A22" s="25"/>
      <c r="B22" s="114"/>
      <c r="C22" s="114"/>
      <c r="D22" s="121"/>
      <c r="E22" s="122">
        <v>0.5</v>
      </c>
      <c r="F22" s="123">
        <f t="shared" si="1"/>
        <v>0</v>
      </c>
      <c r="G22" s="124"/>
      <c r="H22" s="125"/>
      <c r="I22" s="126"/>
      <c r="J22" s="85">
        <f t="shared" si="2"/>
        <v>0</v>
      </c>
    </row>
    <row r="23" ht="15.75" customHeight="1">
      <c r="A23" s="25"/>
      <c r="B23" s="114" t="s">
        <v>201</v>
      </c>
      <c r="C23" s="114" t="s">
        <v>202</v>
      </c>
      <c r="D23" s="121">
        <v>7.0</v>
      </c>
      <c r="E23" s="122">
        <v>0.5</v>
      </c>
      <c r="F23" s="123">
        <f t="shared" si="1"/>
        <v>10.5</v>
      </c>
      <c r="G23" s="124"/>
      <c r="H23" s="125"/>
      <c r="I23" s="126"/>
      <c r="J23" s="85">
        <f t="shared" si="2"/>
        <v>0</v>
      </c>
    </row>
    <row r="24" ht="15.75" customHeight="1">
      <c r="A24" s="25"/>
      <c r="B24" s="114" t="s">
        <v>203</v>
      </c>
      <c r="C24" s="114" t="s">
        <v>204</v>
      </c>
      <c r="D24" s="121">
        <v>10.0</v>
      </c>
      <c r="E24" s="122">
        <v>0.5</v>
      </c>
      <c r="F24" s="123">
        <f t="shared" si="1"/>
        <v>15</v>
      </c>
      <c r="G24" s="124"/>
      <c r="H24" s="125"/>
      <c r="I24" s="126"/>
      <c r="J24" s="85">
        <f t="shared" si="2"/>
        <v>0</v>
      </c>
    </row>
    <row r="25" ht="15.75" customHeight="1">
      <c r="A25" s="25"/>
      <c r="B25" s="114" t="s">
        <v>205</v>
      </c>
      <c r="C25" s="114" t="s">
        <v>206</v>
      </c>
      <c r="D25" s="121">
        <v>50.0</v>
      </c>
      <c r="E25" s="122">
        <v>0.5</v>
      </c>
      <c r="F25" s="123">
        <f t="shared" si="1"/>
        <v>75</v>
      </c>
      <c r="G25" s="124"/>
      <c r="H25" s="125"/>
      <c r="I25" s="126"/>
      <c r="J25" s="85">
        <f t="shared" si="2"/>
        <v>0</v>
      </c>
    </row>
    <row r="26" ht="15.75" customHeight="1">
      <c r="A26" s="25"/>
      <c r="B26" s="114"/>
      <c r="C26" s="114"/>
      <c r="D26" s="121"/>
      <c r="E26" s="122">
        <v>0.5</v>
      </c>
      <c r="F26" s="123">
        <f t="shared" si="1"/>
        <v>0</v>
      </c>
      <c r="G26" s="124"/>
      <c r="H26" s="125"/>
      <c r="I26" s="126"/>
      <c r="J26" s="85">
        <f t="shared" si="2"/>
        <v>0</v>
      </c>
    </row>
    <row r="27" ht="15.75" customHeight="1">
      <c r="A27" s="25"/>
      <c r="B27" s="114" t="s">
        <v>208</v>
      </c>
      <c r="C27" s="114" t="s">
        <v>209</v>
      </c>
      <c r="D27" s="121">
        <v>150.0</v>
      </c>
      <c r="E27" s="122">
        <v>0.5</v>
      </c>
      <c r="F27" s="123">
        <f t="shared" si="1"/>
        <v>225</v>
      </c>
      <c r="G27" s="124"/>
      <c r="H27" s="125"/>
      <c r="I27" s="126"/>
      <c r="J27" s="85">
        <f t="shared" si="2"/>
        <v>0</v>
      </c>
    </row>
    <row r="28" ht="15.75" customHeight="1">
      <c r="A28" s="25"/>
      <c r="B28" s="114" t="s">
        <v>210</v>
      </c>
      <c r="C28" s="114" t="s">
        <v>211</v>
      </c>
      <c r="D28" s="121">
        <v>70.0</v>
      </c>
      <c r="E28" s="122">
        <v>0.5</v>
      </c>
      <c r="F28" s="123">
        <f t="shared" si="1"/>
        <v>105</v>
      </c>
      <c r="G28" s="124"/>
      <c r="H28" s="125"/>
      <c r="I28" s="126"/>
      <c r="J28" s="85">
        <f t="shared" si="2"/>
        <v>0</v>
      </c>
    </row>
    <row r="29" ht="15.75" customHeight="1">
      <c r="A29" s="25"/>
      <c r="B29" s="114" t="s">
        <v>212</v>
      </c>
      <c r="C29" s="114" t="s">
        <v>213</v>
      </c>
      <c r="D29" s="121">
        <v>25.0</v>
      </c>
      <c r="E29" s="122">
        <v>0.5</v>
      </c>
      <c r="F29" s="123">
        <f t="shared" si="1"/>
        <v>37.5</v>
      </c>
      <c r="G29" s="124"/>
      <c r="H29" s="125"/>
      <c r="I29" s="126"/>
      <c r="J29" s="85">
        <f t="shared" si="2"/>
        <v>0</v>
      </c>
    </row>
    <row r="30" ht="15.75" customHeight="1">
      <c r="A30" s="25"/>
      <c r="B30" s="114" t="s">
        <v>214</v>
      </c>
      <c r="C30" s="114" t="s">
        <v>215</v>
      </c>
      <c r="D30" s="121" t="s">
        <v>216</v>
      </c>
      <c r="E30" s="122">
        <v>0.5</v>
      </c>
      <c r="F30" s="123" t="str">
        <f t="shared" si="1"/>
        <v>#VALUE!</v>
      </c>
      <c r="G30" s="124"/>
      <c r="H30" s="125"/>
      <c r="I30" s="126"/>
      <c r="J30" s="85" t="str">
        <f t="shared" si="2"/>
        <v>#VALUE!</v>
      </c>
    </row>
    <row r="31" ht="15.75" customHeight="1">
      <c r="A31" s="25"/>
      <c r="B31" s="114" t="s">
        <v>217</v>
      </c>
      <c r="C31" s="114" t="s">
        <v>218</v>
      </c>
      <c r="D31" s="124" t="s">
        <v>219</v>
      </c>
      <c r="E31" s="122">
        <v>0.5</v>
      </c>
      <c r="F31" s="123" t="str">
        <f t="shared" si="1"/>
        <v>#VALUE!</v>
      </c>
      <c r="G31" s="124"/>
      <c r="H31" s="125"/>
      <c r="I31" s="126"/>
      <c r="J31" s="85" t="str">
        <f t="shared" si="2"/>
        <v>#VALUE!</v>
      </c>
    </row>
    <row r="32" ht="15.75" customHeight="1">
      <c r="A32" s="25"/>
      <c r="B32" s="114" t="s">
        <v>220</v>
      </c>
      <c r="C32" s="114"/>
      <c r="D32" s="121">
        <v>52.0</v>
      </c>
      <c r="E32" s="122">
        <v>0.5</v>
      </c>
      <c r="F32" s="123">
        <f t="shared" si="1"/>
        <v>78</v>
      </c>
      <c r="G32" s="124"/>
      <c r="H32" s="125"/>
      <c r="I32" s="126"/>
      <c r="J32" s="85">
        <f t="shared" si="2"/>
        <v>0</v>
      </c>
    </row>
    <row r="33" ht="15.75" customHeight="1">
      <c r="A33" s="25"/>
      <c r="B33" s="114" t="s">
        <v>221</v>
      </c>
      <c r="C33" s="114" t="s">
        <v>222</v>
      </c>
      <c r="D33" s="121">
        <v>55.0</v>
      </c>
      <c r="E33" s="122">
        <v>0.5</v>
      </c>
      <c r="F33" s="123">
        <f t="shared" si="1"/>
        <v>82.5</v>
      </c>
      <c r="G33" s="124"/>
      <c r="H33" s="125"/>
      <c r="I33" s="126"/>
      <c r="J33" s="85">
        <f t="shared" si="2"/>
        <v>0</v>
      </c>
    </row>
    <row r="34" ht="15.75" customHeight="1">
      <c r="A34" s="25"/>
      <c r="B34" s="114" t="s">
        <v>223</v>
      </c>
      <c r="C34" s="114" t="s">
        <v>224</v>
      </c>
      <c r="D34" s="121">
        <v>92.0</v>
      </c>
      <c r="E34" s="122">
        <v>0.5</v>
      </c>
      <c r="F34" s="123">
        <f t="shared" si="1"/>
        <v>138</v>
      </c>
      <c r="G34" s="124"/>
      <c r="H34" s="125"/>
      <c r="I34" s="126"/>
      <c r="J34" s="85">
        <f t="shared" si="2"/>
        <v>0</v>
      </c>
    </row>
    <row r="35" ht="15.75" customHeight="1">
      <c r="A35" s="25"/>
      <c r="B35" s="114" t="s">
        <v>225</v>
      </c>
      <c r="C35" s="114" t="s">
        <v>226</v>
      </c>
      <c r="D35" s="121">
        <v>33.0</v>
      </c>
      <c r="E35" s="122">
        <v>0.5</v>
      </c>
      <c r="F35" s="123">
        <f t="shared" si="1"/>
        <v>49.5</v>
      </c>
      <c r="G35" s="124"/>
      <c r="H35" s="125"/>
      <c r="I35" s="126"/>
      <c r="J35" s="85">
        <f t="shared" si="2"/>
        <v>0</v>
      </c>
    </row>
    <row r="36" ht="15.75" customHeight="1">
      <c r="A36" s="25"/>
      <c r="B36" s="114" t="s">
        <v>227</v>
      </c>
      <c r="C36" s="114" t="s">
        <v>228</v>
      </c>
      <c r="D36" s="121">
        <v>14.0</v>
      </c>
      <c r="E36" s="122">
        <v>0.5</v>
      </c>
      <c r="F36" s="123">
        <f t="shared" si="1"/>
        <v>21</v>
      </c>
      <c r="G36" s="124"/>
      <c r="H36" s="125"/>
      <c r="I36" s="126"/>
      <c r="J36" s="85">
        <f t="shared" si="2"/>
        <v>0</v>
      </c>
    </row>
    <row r="37" ht="15.75" customHeight="1">
      <c r="A37" s="25"/>
      <c r="B37" s="114"/>
      <c r="C37" s="114"/>
      <c r="D37" s="121"/>
      <c r="E37" s="122">
        <v>0.5</v>
      </c>
      <c r="F37" s="123">
        <f t="shared" si="1"/>
        <v>0</v>
      </c>
      <c r="G37" s="124"/>
      <c r="H37" s="125"/>
      <c r="I37" s="126"/>
      <c r="J37" s="85">
        <f t="shared" si="2"/>
        <v>0</v>
      </c>
    </row>
    <row r="38" ht="15.75" customHeight="1">
      <c r="A38" s="25"/>
      <c r="B38" s="114"/>
      <c r="C38" s="114"/>
      <c r="D38" s="121"/>
      <c r="E38" s="122">
        <v>0.5</v>
      </c>
      <c r="F38" s="123">
        <f t="shared" si="1"/>
        <v>0</v>
      </c>
      <c r="G38" s="124"/>
      <c r="H38" s="125"/>
      <c r="I38" s="126"/>
      <c r="J38" s="85">
        <f t="shared" si="2"/>
        <v>0</v>
      </c>
    </row>
    <row r="39" ht="15.75" customHeight="1">
      <c r="A39" s="25"/>
      <c r="B39" s="114"/>
      <c r="C39" s="114"/>
      <c r="D39" s="121"/>
      <c r="E39" s="122">
        <v>0.5</v>
      </c>
      <c r="F39" s="123">
        <f t="shared" si="1"/>
        <v>0</v>
      </c>
      <c r="G39" s="124"/>
      <c r="H39" s="125"/>
      <c r="I39" s="126"/>
      <c r="J39" s="85">
        <f t="shared" si="2"/>
        <v>0</v>
      </c>
    </row>
    <row r="40" ht="15.75" customHeight="1">
      <c r="A40" s="25"/>
      <c r="B40" s="114"/>
      <c r="C40" s="114"/>
      <c r="D40" s="121"/>
      <c r="E40" s="122">
        <v>0.5</v>
      </c>
      <c r="F40" s="123">
        <f t="shared" si="1"/>
        <v>0</v>
      </c>
      <c r="G40" s="124"/>
      <c r="H40" s="125"/>
      <c r="I40" s="126"/>
      <c r="J40" s="85">
        <f t="shared" si="2"/>
        <v>0</v>
      </c>
    </row>
    <row r="41" ht="15.75" customHeight="1">
      <c r="A41" s="92"/>
      <c r="B41" s="114"/>
      <c r="C41" s="114"/>
      <c r="D41" s="115"/>
      <c r="E41" s="116">
        <v>0.5</v>
      </c>
      <c r="F41" s="117">
        <f t="shared" si="1"/>
        <v>0</v>
      </c>
      <c r="G41" s="118"/>
      <c r="H41" s="119"/>
      <c r="I41" s="120"/>
      <c r="J41" s="85">
        <f t="shared" si="2"/>
        <v>0</v>
      </c>
    </row>
    <row r="42" ht="15.75" customHeight="1">
      <c r="A42" s="92"/>
      <c r="B42" s="114"/>
      <c r="C42" s="114"/>
      <c r="D42" s="115"/>
      <c r="E42" s="116">
        <v>0.5</v>
      </c>
      <c r="F42" s="117">
        <f t="shared" si="1"/>
        <v>0</v>
      </c>
      <c r="G42" s="118"/>
      <c r="H42" s="119"/>
      <c r="I42" s="120"/>
      <c r="J42" s="85">
        <f t="shared" si="2"/>
        <v>0</v>
      </c>
    </row>
    <row r="43" ht="15.75" customHeight="1">
      <c r="A43" s="92"/>
      <c r="B43" s="114"/>
      <c r="C43" s="114"/>
      <c r="D43" s="115"/>
      <c r="E43" s="116">
        <v>0.5</v>
      </c>
      <c r="F43" s="117">
        <f t="shared" si="1"/>
        <v>0</v>
      </c>
      <c r="G43" s="118"/>
      <c r="H43" s="119"/>
      <c r="I43" s="120"/>
      <c r="J43" s="85">
        <f t="shared" si="2"/>
        <v>0</v>
      </c>
    </row>
    <row r="44" ht="15.75" customHeight="1">
      <c r="A44" s="92"/>
      <c r="B44" s="114"/>
      <c r="C44" s="114"/>
      <c r="D44" s="115"/>
      <c r="E44" s="116">
        <v>0.5</v>
      </c>
      <c r="F44" s="117">
        <f t="shared" si="1"/>
        <v>0</v>
      </c>
      <c r="G44" s="118"/>
      <c r="H44" s="119"/>
      <c r="I44" s="120"/>
      <c r="J44" s="85">
        <f t="shared" si="2"/>
        <v>0</v>
      </c>
    </row>
    <row r="45" ht="15.75" customHeight="1">
      <c r="A45" s="92"/>
      <c r="B45" s="114"/>
      <c r="C45" s="114"/>
      <c r="D45" s="115"/>
      <c r="E45" s="116">
        <v>0.5</v>
      </c>
      <c r="F45" s="117">
        <f t="shared" si="1"/>
        <v>0</v>
      </c>
      <c r="G45" s="118"/>
      <c r="H45" s="119"/>
      <c r="I45" s="120"/>
      <c r="J45" s="85">
        <f t="shared" si="2"/>
        <v>0</v>
      </c>
    </row>
    <row r="46" ht="15.75" customHeight="1">
      <c r="A46" s="92"/>
      <c r="B46" s="114"/>
      <c r="C46" s="114"/>
      <c r="D46" s="115"/>
      <c r="E46" s="116">
        <v>0.5</v>
      </c>
      <c r="F46" s="117">
        <f t="shared" si="1"/>
        <v>0</v>
      </c>
      <c r="G46" s="118"/>
      <c r="H46" s="119"/>
      <c r="I46" s="120"/>
      <c r="J46" s="85">
        <f t="shared" si="2"/>
        <v>0</v>
      </c>
    </row>
    <row r="47" ht="15.75" customHeight="1">
      <c r="A47" s="92"/>
      <c r="B47" s="114"/>
      <c r="C47" s="114"/>
      <c r="D47" s="115"/>
      <c r="E47" s="116">
        <v>0.5</v>
      </c>
      <c r="F47" s="117">
        <f t="shared" si="1"/>
        <v>0</v>
      </c>
      <c r="G47" s="118"/>
      <c r="H47" s="119"/>
      <c r="I47" s="120"/>
      <c r="J47" s="85">
        <f t="shared" si="2"/>
        <v>0</v>
      </c>
    </row>
    <row r="48" ht="15.75" customHeight="1">
      <c r="A48" s="92"/>
      <c r="B48" s="114"/>
      <c r="C48" s="114"/>
      <c r="D48" s="115"/>
      <c r="E48" s="116">
        <v>0.5</v>
      </c>
      <c r="F48" s="117">
        <f t="shared" si="1"/>
        <v>0</v>
      </c>
      <c r="G48" s="118"/>
      <c r="H48" s="119"/>
      <c r="I48" s="120"/>
      <c r="J48" s="85">
        <f t="shared" si="2"/>
        <v>0</v>
      </c>
    </row>
    <row r="49" ht="15.75" customHeight="1">
      <c r="A49" s="92"/>
      <c r="B49" s="114"/>
      <c r="C49" s="114"/>
      <c r="D49" s="115"/>
      <c r="E49" s="116">
        <v>0.5</v>
      </c>
      <c r="F49" s="117">
        <f t="shared" si="1"/>
        <v>0</v>
      </c>
      <c r="G49" s="118"/>
      <c r="H49" s="119"/>
      <c r="I49" s="120"/>
      <c r="J49" s="85">
        <f t="shared" si="2"/>
        <v>0</v>
      </c>
    </row>
    <row r="50" ht="15.75" customHeight="1">
      <c r="A50" s="92" t="s">
        <v>238</v>
      </c>
      <c r="B50" s="114"/>
      <c r="C50" s="114"/>
      <c r="D50" s="115">
        <v>20.0</v>
      </c>
      <c r="E50" s="116">
        <v>0.5</v>
      </c>
      <c r="F50" s="117">
        <f t="shared" si="1"/>
        <v>30</v>
      </c>
      <c r="G50" s="118" t="s">
        <v>239</v>
      </c>
      <c r="H50" s="119" t="s">
        <v>239</v>
      </c>
      <c r="I50" s="120">
        <v>0.0</v>
      </c>
      <c r="J50" s="85">
        <f t="shared" si="2"/>
        <v>0</v>
      </c>
    </row>
    <row r="51" ht="15.75" customHeight="1"/>
    <row r="52" ht="15.75" customHeight="1"/>
    <row r="53" ht="15.75" customHeight="1">
      <c r="J53" s="127">
        <f>SUM(J7:J14)</f>
        <v>60</v>
      </c>
    </row>
    <row r="54" ht="15.75" customHeight="1"/>
    <row r="55" ht="15.75" customHeight="1"/>
    <row r="56" ht="15.75" customHeight="1"/>
    <row r="57" ht="15.75" customHeight="1">
      <c r="A57" s="58" t="s">
        <v>158</v>
      </c>
      <c r="C57" s="105"/>
      <c r="D57" s="106">
        <v>0.5</v>
      </c>
      <c r="E57" s="105"/>
    </row>
    <row r="58" ht="15.75" customHeight="1">
      <c r="C58" s="105" t="s">
        <v>161</v>
      </c>
      <c r="D58" s="106">
        <v>0.5</v>
      </c>
      <c r="E58" s="58"/>
    </row>
    <row r="59" ht="15.75" customHeight="1">
      <c r="B59" s="58" t="s">
        <v>163</v>
      </c>
      <c r="C59" s="105" t="s">
        <v>164</v>
      </c>
      <c r="D59" s="106">
        <v>0.5</v>
      </c>
      <c r="E59" s="58"/>
    </row>
    <row r="60" ht="15.75" customHeight="1">
      <c r="A60" s="58" t="s">
        <v>165</v>
      </c>
      <c r="B60" s="58" t="s">
        <v>166</v>
      </c>
      <c r="C60" s="105" t="s">
        <v>167</v>
      </c>
      <c r="D60" s="106">
        <v>0.5</v>
      </c>
      <c r="E60" s="58"/>
    </row>
    <row r="61" ht="15.75" customHeight="1">
      <c r="A61" s="58"/>
      <c r="B61" s="58"/>
      <c r="C61" s="105"/>
      <c r="D61" s="106"/>
      <c r="E61" s="58"/>
    </row>
    <row r="62" ht="15.75" customHeight="1">
      <c r="A62" s="58" t="s">
        <v>171</v>
      </c>
      <c r="B62" s="58" t="s">
        <v>172</v>
      </c>
      <c r="C62" s="105" t="s">
        <v>173</v>
      </c>
      <c r="D62" s="106">
        <v>0.5</v>
      </c>
      <c r="E62" s="58"/>
    </row>
    <row r="63" ht="15.75" customHeight="1">
      <c r="A63" s="58" t="s">
        <v>174</v>
      </c>
      <c r="B63" s="58" t="s">
        <v>175</v>
      </c>
      <c r="C63" s="105" t="s">
        <v>173</v>
      </c>
      <c r="D63" s="106">
        <v>0.5</v>
      </c>
      <c r="E63" s="58"/>
    </row>
    <row r="64" ht="15.75" customHeight="1">
      <c r="A64" s="58" t="s">
        <v>176</v>
      </c>
      <c r="B64" s="58" t="s">
        <v>177</v>
      </c>
      <c r="C64" s="105" t="s">
        <v>178</v>
      </c>
      <c r="D64" s="106">
        <v>0.5</v>
      </c>
      <c r="E64" s="58"/>
    </row>
    <row r="65" ht="15.75" customHeight="1">
      <c r="A65" s="58" t="s">
        <v>179</v>
      </c>
      <c r="B65" s="58" t="s">
        <v>180</v>
      </c>
      <c r="C65" s="105">
        <v>24.0</v>
      </c>
      <c r="D65" s="106">
        <v>0.5</v>
      </c>
      <c r="E65" s="105"/>
    </row>
    <row r="66" ht="15.75" customHeight="1">
      <c r="A66" s="58" t="s">
        <v>181</v>
      </c>
      <c r="B66" s="58" t="s">
        <v>182</v>
      </c>
      <c r="C66" s="105" t="s">
        <v>183</v>
      </c>
      <c r="D66" s="106">
        <v>0.5</v>
      </c>
      <c r="E66" s="58"/>
    </row>
    <row r="67" ht="15.75" customHeight="1">
      <c r="A67" s="58" t="s">
        <v>184</v>
      </c>
      <c r="B67" s="58" t="s">
        <v>185</v>
      </c>
      <c r="C67" s="105">
        <v>15.0</v>
      </c>
      <c r="D67" s="106">
        <v>0.5</v>
      </c>
      <c r="E67" s="105"/>
    </row>
    <row r="68" ht="15.75" customHeight="1">
      <c r="A68" s="58" t="s">
        <v>186</v>
      </c>
      <c r="B68" s="58" t="s">
        <v>187</v>
      </c>
      <c r="C68" s="105" t="s">
        <v>188</v>
      </c>
      <c r="D68" s="106">
        <v>0.5</v>
      </c>
      <c r="E68" s="58"/>
    </row>
    <row r="69" ht="15.75" customHeight="1">
      <c r="A69" s="58" t="s">
        <v>189</v>
      </c>
      <c r="B69" s="58" t="s">
        <v>190</v>
      </c>
      <c r="C69" s="105" t="s">
        <v>191</v>
      </c>
      <c r="D69" s="106">
        <v>0.5</v>
      </c>
      <c r="E69" s="58"/>
    </row>
    <row r="70" ht="15.75" customHeight="1">
      <c r="A70" s="58" t="s">
        <v>192</v>
      </c>
      <c r="B70" s="58" t="s">
        <v>193</v>
      </c>
      <c r="C70" s="105" t="s">
        <v>194</v>
      </c>
      <c r="D70" s="106">
        <v>0.5</v>
      </c>
      <c r="E70" s="58"/>
    </row>
    <row r="71" ht="15.75" customHeight="1">
      <c r="A71" s="58" t="s">
        <v>195</v>
      </c>
      <c r="B71" s="58" t="s">
        <v>196</v>
      </c>
      <c r="C71" s="105" t="s">
        <v>197</v>
      </c>
      <c r="D71" s="106">
        <v>0.5</v>
      </c>
      <c r="E71" s="58"/>
    </row>
    <row r="72" ht="15.75" customHeight="1">
      <c r="A72" s="58" t="s">
        <v>198</v>
      </c>
      <c r="B72" s="58" t="s">
        <v>199</v>
      </c>
      <c r="C72" s="105" t="s">
        <v>200</v>
      </c>
      <c r="D72" s="106">
        <v>0.5</v>
      </c>
      <c r="E72" s="58"/>
    </row>
    <row r="73" ht="15.75" customHeight="1">
      <c r="C73" s="105"/>
      <c r="D73" s="106">
        <v>0.5</v>
      </c>
      <c r="E73" s="105"/>
    </row>
    <row r="74" ht="15.75" customHeight="1">
      <c r="A74" s="58" t="s">
        <v>201</v>
      </c>
      <c r="B74" s="58" t="s">
        <v>202</v>
      </c>
      <c r="C74" s="105" t="s">
        <v>152</v>
      </c>
      <c r="D74" s="106">
        <v>0.5</v>
      </c>
      <c r="E74" s="58"/>
    </row>
    <row r="75" ht="15.75" customHeight="1">
      <c r="A75" s="58" t="s">
        <v>203</v>
      </c>
      <c r="B75" s="58" t="s">
        <v>204</v>
      </c>
      <c r="C75" s="105" t="s">
        <v>136</v>
      </c>
      <c r="D75" s="106">
        <v>0.5</v>
      </c>
      <c r="E75" s="58"/>
    </row>
    <row r="76" ht="15.75" customHeight="1">
      <c r="A76" s="58" t="s">
        <v>205</v>
      </c>
      <c r="B76" s="58" t="s">
        <v>206</v>
      </c>
      <c r="C76" s="105" t="s">
        <v>207</v>
      </c>
      <c r="D76" s="106">
        <v>0.5</v>
      </c>
      <c r="E76" s="58"/>
    </row>
    <row r="77" ht="15.75" customHeight="1">
      <c r="C77" s="105"/>
      <c r="D77" s="106">
        <v>0.5</v>
      </c>
      <c r="E77" s="105"/>
    </row>
    <row r="78" ht="15.75" customHeight="1">
      <c r="A78" s="58" t="s">
        <v>208</v>
      </c>
      <c r="B78" s="58" t="s">
        <v>209</v>
      </c>
      <c r="C78" s="105">
        <v>150.0</v>
      </c>
      <c r="D78" s="106">
        <v>0.5</v>
      </c>
      <c r="E78" s="105"/>
    </row>
    <row r="79" ht="15.75" customHeight="1">
      <c r="A79" s="58" t="s">
        <v>210</v>
      </c>
      <c r="B79" s="58" t="s">
        <v>211</v>
      </c>
      <c r="C79" s="105">
        <v>70.0</v>
      </c>
      <c r="D79" s="106">
        <v>0.5</v>
      </c>
      <c r="E79" s="105"/>
    </row>
    <row r="80" ht="15.75" customHeight="1">
      <c r="A80" s="58" t="s">
        <v>212</v>
      </c>
      <c r="B80" s="58" t="s">
        <v>213</v>
      </c>
      <c r="C80" s="105">
        <v>25.0</v>
      </c>
      <c r="D80" s="106">
        <v>0.5</v>
      </c>
      <c r="E80" s="105"/>
    </row>
    <row r="81" ht="15.75" customHeight="1">
      <c r="A81" s="58" t="s">
        <v>214</v>
      </c>
      <c r="B81" s="58" t="s">
        <v>215</v>
      </c>
      <c r="C81" s="105" t="s">
        <v>216</v>
      </c>
      <c r="D81" s="106">
        <v>0.5</v>
      </c>
      <c r="E81" s="58"/>
    </row>
    <row r="82" ht="15.75" customHeight="1">
      <c r="A82" s="58" t="s">
        <v>217</v>
      </c>
      <c r="B82" s="58" t="s">
        <v>218</v>
      </c>
      <c r="C82" s="58" t="s">
        <v>219</v>
      </c>
      <c r="D82" s="106">
        <v>0.5</v>
      </c>
      <c r="E82" s="58"/>
    </row>
    <row r="83" ht="15.75" customHeight="1">
      <c r="A83" s="58" t="s">
        <v>220</v>
      </c>
      <c r="B83" s="58"/>
      <c r="C83" s="105">
        <v>52.0</v>
      </c>
      <c r="D83" s="106">
        <v>0.5</v>
      </c>
      <c r="E83" s="58"/>
    </row>
    <row r="84" ht="15.75" customHeight="1">
      <c r="A84" s="58" t="s">
        <v>221</v>
      </c>
      <c r="B84" s="58" t="s">
        <v>222</v>
      </c>
      <c r="C84" s="105">
        <v>55.0</v>
      </c>
      <c r="D84" s="106">
        <v>0.5</v>
      </c>
      <c r="E84" s="58"/>
    </row>
    <row r="85" ht="15.75" customHeight="1">
      <c r="A85" s="58" t="s">
        <v>223</v>
      </c>
      <c r="B85" s="58" t="s">
        <v>224</v>
      </c>
      <c r="C85" s="105">
        <v>92.0</v>
      </c>
      <c r="D85" s="106">
        <v>0.5</v>
      </c>
      <c r="E85" s="58"/>
    </row>
    <row r="86" ht="15.75" customHeight="1">
      <c r="A86" s="58" t="s">
        <v>225</v>
      </c>
      <c r="B86" s="58" t="s">
        <v>226</v>
      </c>
      <c r="C86" s="105">
        <v>33.0</v>
      </c>
      <c r="D86" s="106">
        <v>0.5</v>
      </c>
      <c r="E86" s="58"/>
    </row>
    <row r="87" ht="15.75" customHeight="1">
      <c r="A87" s="58" t="s">
        <v>227</v>
      </c>
      <c r="B87" s="58" t="s">
        <v>228</v>
      </c>
      <c r="C87" s="105">
        <v>14.0</v>
      </c>
      <c r="D87" s="106">
        <v>0.5</v>
      </c>
      <c r="E87" s="58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C3"/>
    <mergeCell ref="D5:G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3.44"/>
    <col customWidth="1" min="2" max="2" width="29.0"/>
    <col customWidth="1" min="3" max="3" width="21.0"/>
    <col customWidth="1" min="4" max="4" width="8.33"/>
    <col customWidth="1" min="5" max="6" width="10.56"/>
    <col customWidth="1" min="9" max="9" width="7.56"/>
  </cols>
  <sheetData>
    <row r="1">
      <c r="A1" s="1" t="s">
        <v>0</v>
      </c>
      <c r="B1" s="2"/>
      <c r="C1" s="3"/>
    </row>
    <row r="3">
      <c r="D3" s="109" t="s">
        <v>232</v>
      </c>
      <c r="E3" s="110"/>
      <c r="F3" s="110"/>
      <c r="G3" s="111"/>
    </row>
    <row r="4">
      <c r="A4" s="113" t="s">
        <v>2</v>
      </c>
      <c r="B4" s="113" t="s">
        <v>233</v>
      </c>
      <c r="C4" s="113" t="s">
        <v>234</v>
      </c>
      <c r="D4" s="113" t="s">
        <v>81</v>
      </c>
      <c r="E4" s="113" t="s">
        <v>59</v>
      </c>
      <c r="F4" s="113" t="s">
        <v>235</v>
      </c>
      <c r="G4" s="113" t="s">
        <v>236</v>
      </c>
      <c r="H4" s="113" t="s">
        <v>237</v>
      </c>
      <c r="I4" s="113" t="s">
        <v>11</v>
      </c>
      <c r="J4" s="113" t="s">
        <v>63</v>
      </c>
    </row>
    <row r="5">
      <c r="A5" s="81" t="s">
        <v>243</v>
      </c>
      <c r="B5" s="81" t="s">
        <v>244</v>
      </c>
      <c r="C5" s="128" t="s">
        <v>245</v>
      </c>
      <c r="D5" s="129">
        <v>15.0</v>
      </c>
      <c r="E5" s="116">
        <v>0.5</v>
      </c>
      <c r="F5" s="117">
        <f t="shared" ref="F5:F12" si="1">D5+D5*(1*E5)</f>
        <v>22.5</v>
      </c>
      <c r="G5" s="118" t="s">
        <v>246</v>
      </c>
      <c r="H5" s="119">
        <v>0.0</v>
      </c>
      <c r="I5" s="120">
        <v>0.0</v>
      </c>
      <c r="J5" s="85">
        <f t="shared" ref="J5:J7" si="2">I5*H5*F5</f>
        <v>0</v>
      </c>
    </row>
    <row r="6">
      <c r="A6" s="25" t="s">
        <v>243</v>
      </c>
      <c r="B6" s="25" t="s">
        <v>247</v>
      </c>
      <c r="C6" s="114" t="s">
        <v>248</v>
      </c>
      <c r="D6" s="130">
        <v>15.0</v>
      </c>
      <c r="E6" s="122">
        <v>0.5</v>
      </c>
      <c r="F6" s="123">
        <f t="shared" si="1"/>
        <v>22.5</v>
      </c>
      <c r="G6" s="124" t="s">
        <v>246</v>
      </c>
      <c r="H6" s="125">
        <v>0.0</v>
      </c>
      <c r="I6" s="126">
        <v>0.0</v>
      </c>
      <c r="J6" s="50">
        <f t="shared" si="2"/>
        <v>0</v>
      </c>
    </row>
    <row r="7">
      <c r="A7" s="25" t="s">
        <v>243</v>
      </c>
      <c r="B7" s="25" t="s">
        <v>249</v>
      </c>
      <c r="C7" s="114" t="s">
        <v>250</v>
      </c>
      <c r="D7" s="130">
        <v>15.0</v>
      </c>
      <c r="E7" s="122">
        <v>0.5</v>
      </c>
      <c r="F7" s="123">
        <f t="shared" si="1"/>
        <v>22.5</v>
      </c>
      <c r="G7" s="124" t="s">
        <v>246</v>
      </c>
      <c r="H7" s="125">
        <v>0.0</v>
      </c>
      <c r="I7" s="126">
        <v>0.0</v>
      </c>
      <c r="J7" s="50">
        <f t="shared" si="2"/>
        <v>0</v>
      </c>
    </row>
    <row r="8">
      <c r="A8" s="25" t="s">
        <v>243</v>
      </c>
      <c r="B8" s="25" t="s">
        <v>251</v>
      </c>
      <c r="C8" s="114" t="s">
        <v>252</v>
      </c>
      <c r="D8" s="121">
        <v>20.0</v>
      </c>
      <c r="E8" s="122">
        <v>0.5</v>
      </c>
      <c r="F8" s="121">
        <f t="shared" si="1"/>
        <v>30</v>
      </c>
      <c r="G8" s="124"/>
      <c r="H8" s="131" t="s">
        <v>239</v>
      </c>
      <c r="I8" s="126">
        <v>0.0</v>
      </c>
      <c r="J8" s="50">
        <f t="shared" ref="J8:J12" si="3">I8*F8</f>
        <v>0</v>
      </c>
    </row>
    <row r="9">
      <c r="A9" s="25" t="s">
        <v>243</v>
      </c>
      <c r="B9" s="25" t="s">
        <v>253</v>
      </c>
      <c r="C9" s="114" t="s">
        <v>252</v>
      </c>
      <c r="D9" s="121">
        <v>25.0</v>
      </c>
      <c r="E9" s="122">
        <v>0.5</v>
      </c>
      <c r="F9" s="121">
        <f t="shared" si="1"/>
        <v>37.5</v>
      </c>
      <c r="G9" s="124"/>
      <c r="H9" s="131" t="s">
        <v>239</v>
      </c>
      <c r="I9" s="126">
        <v>0.0</v>
      </c>
      <c r="J9" s="50">
        <f t="shared" si="3"/>
        <v>0</v>
      </c>
    </row>
    <row r="10">
      <c r="A10" s="25" t="s">
        <v>243</v>
      </c>
      <c r="B10" s="25" t="s">
        <v>254</v>
      </c>
      <c r="C10" s="114" t="s">
        <v>252</v>
      </c>
      <c r="D10" s="121">
        <v>46.0</v>
      </c>
      <c r="E10" s="122">
        <v>0.5</v>
      </c>
      <c r="F10" s="121">
        <f t="shared" si="1"/>
        <v>69</v>
      </c>
      <c r="G10" s="124"/>
      <c r="H10" s="131" t="s">
        <v>239</v>
      </c>
      <c r="I10" s="126">
        <v>0.0</v>
      </c>
      <c r="J10" s="50">
        <f t="shared" si="3"/>
        <v>0</v>
      </c>
    </row>
    <row r="11">
      <c r="A11" s="25" t="s">
        <v>243</v>
      </c>
      <c r="B11" s="25" t="s">
        <v>255</v>
      </c>
      <c r="C11" s="114" t="s">
        <v>256</v>
      </c>
      <c r="D11" s="121">
        <v>14.0</v>
      </c>
      <c r="E11" s="122">
        <v>0.5</v>
      </c>
      <c r="F11" s="121">
        <f t="shared" si="1"/>
        <v>21</v>
      </c>
      <c r="G11" s="124"/>
      <c r="H11" s="131" t="s">
        <v>239</v>
      </c>
      <c r="I11" s="126">
        <v>0.0</v>
      </c>
      <c r="J11" s="50">
        <f t="shared" si="3"/>
        <v>0</v>
      </c>
    </row>
    <row r="12">
      <c r="A12" s="25" t="s">
        <v>243</v>
      </c>
      <c r="B12" s="25" t="s">
        <v>257</v>
      </c>
      <c r="C12" s="114" t="s">
        <v>258</v>
      </c>
      <c r="D12" s="121">
        <v>2.5</v>
      </c>
      <c r="E12" s="122">
        <v>0.5</v>
      </c>
      <c r="F12" s="121">
        <f t="shared" si="1"/>
        <v>3.75</v>
      </c>
      <c r="G12" s="124"/>
      <c r="H12" s="131" t="s">
        <v>239</v>
      </c>
      <c r="I12" s="126">
        <v>0.0</v>
      </c>
      <c r="J12" s="50">
        <f t="shared" si="3"/>
        <v>0</v>
      </c>
    </row>
    <row r="16">
      <c r="J16" s="127">
        <f>SUM(J5:J12)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D3:G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</cols>
  <sheetData>
    <row r="4">
      <c r="B4" s="58" t="s">
        <v>259</v>
      </c>
    </row>
    <row r="5">
      <c r="B5" s="75" t="s">
        <v>78</v>
      </c>
      <c r="C5" s="75" t="s">
        <v>260</v>
      </c>
      <c r="D5" s="75" t="s">
        <v>12</v>
      </c>
      <c r="E5" s="75" t="s">
        <v>261</v>
      </c>
      <c r="F5" s="75" t="s">
        <v>2</v>
      </c>
      <c r="G5" s="75" t="s">
        <v>81</v>
      </c>
      <c r="H5" s="75" t="s">
        <v>59</v>
      </c>
      <c r="I5" s="75" t="s">
        <v>82</v>
      </c>
      <c r="J5" s="75" t="s">
        <v>262</v>
      </c>
      <c r="K5" s="132"/>
    </row>
    <row r="6">
      <c r="B6" s="133"/>
      <c r="K6" s="134"/>
    </row>
    <row r="7">
      <c r="B7" s="135" t="s">
        <v>134</v>
      </c>
      <c r="C7" s="136" t="s">
        <v>228</v>
      </c>
      <c r="D7" s="137" t="s">
        <v>135</v>
      </c>
      <c r="E7" s="138">
        <v>2.35</v>
      </c>
      <c r="F7" s="139" t="s">
        <v>133</v>
      </c>
      <c r="G7" s="140">
        <v>10.0</v>
      </c>
      <c r="H7" s="141">
        <v>0.5</v>
      </c>
      <c r="I7" s="142">
        <f>G7+G7*(1*H7)</f>
        <v>15</v>
      </c>
      <c r="J7" s="138">
        <v>0.5</v>
      </c>
      <c r="K7" s="134"/>
    </row>
    <row r="8">
      <c r="B8" s="133"/>
      <c r="D8" s="143"/>
      <c r="K8" s="134"/>
    </row>
    <row r="9">
      <c r="B9" s="133"/>
      <c r="H9" s="144" t="s">
        <v>263</v>
      </c>
      <c r="I9" s="144" t="s">
        <v>264</v>
      </c>
      <c r="J9" s="25"/>
      <c r="K9" s="134"/>
    </row>
    <row r="10">
      <c r="B10" s="133"/>
      <c r="H10" s="145">
        <v>0.0</v>
      </c>
      <c r="I10" s="46">
        <v>0.0</v>
      </c>
      <c r="J10" s="146">
        <f t="shared" ref="J10:J19" si="1">(IF(H10&lt;$J$7,$J$7,H10)*$I$7*I10)</f>
        <v>0</v>
      </c>
      <c r="K10" s="134"/>
    </row>
    <row r="11">
      <c r="B11" s="133"/>
      <c r="H11" s="145">
        <v>0.0</v>
      </c>
      <c r="I11" s="46">
        <v>0.0</v>
      </c>
      <c r="J11" s="146">
        <f t="shared" si="1"/>
        <v>0</v>
      </c>
      <c r="K11" s="134"/>
    </row>
    <row r="12">
      <c r="B12" s="133"/>
      <c r="H12" s="145">
        <v>0.6</v>
      </c>
      <c r="I12" s="46">
        <v>1.0</v>
      </c>
      <c r="J12" s="146">
        <f t="shared" si="1"/>
        <v>9</v>
      </c>
      <c r="K12" s="134"/>
    </row>
    <row r="13">
      <c r="B13" s="133"/>
      <c r="H13" s="145">
        <v>0.0</v>
      </c>
      <c r="I13" s="46">
        <v>0.0</v>
      </c>
      <c r="J13" s="146">
        <f t="shared" si="1"/>
        <v>0</v>
      </c>
      <c r="K13" s="134"/>
    </row>
    <row r="14">
      <c r="B14" s="133"/>
      <c r="H14" s="145">
        <v>0.0</v>
      </c>
      <c r="I14" s="46">
        <v>0.0</v>
      </c>
      <c r="J14" s="146">
        <f t="shared" si="1"/>
        <v>0</v>
      </c>
      <c r="K14" s="134"/>
    </row>
    <row r="15">
      <c r="B15" s="133"/>
      <c r="H15" s="145">
        <v>0.0</v>
      </c>
      <c r="I15" s="46">
        <v>0.0</v>
      </c>
      <c r="J15" s="146">
        <f t="shared" si="1"/>
        <v>0</v>
      </c>
      <c r="K15" s="134"/>
    </row>
    <row r="16">
      <c r="B16" s="133"/>
      <c r="H16" s="145">
        <v>0.0</v>
      </c>
      <c r="I16" s="46">
        <v>0.0</v>
      </c>
      <c r="J16" s="146">
        <f t="shared" si="1"/>
        <v>0</v>
      </c>
      <c r="K16" s="134"/>
    </row>
    <row r="17">
      <c r="B17" s="133"/>
      <c r="H17" s="145">
        <v>0.0</v>
      </c>
      <c r="I17" s="46">
        <v>0.0</v>
      </c>
      <c r="J17" s="146">
        <f t="shared" si="1"/>
        <v>0</v>
      </c>
      <c r="K17" s="134"/>
    </row>
    <row r="18">
      <c r="B18" s="133"/>
      <c r="H18" s="145">
        <v>0.0</v>
      </c>
      <c r="I18" s="46">
        <v>0.0</v>
      </c>
      <c r="J18" s="146">
        <f t="shared" si="1"/>
        <v>0</v>
      </c>
      <c r="K18" s="134"/>
    </row>
    <row r="19">
      <c r="B19" s="133"/>
      <c r="H19" s="145">
        <v>0.0</v>
      </c>
      <c r="I19" s="46">
        <v>0.0</v>
      </c>
      <c r="J19" s="146">
        <f t="shared" si="1"/>
        <v>0</v>
      </c>
      <c r="K19" s="134"/>
    </row>
    <row r="20">
      <c r="B20" s="147"/>
      <c r="C20" s="148"/>
      <c r="D20" s="148"/>
      <c r="E20" s="148"/>
      <c r="F20" s="148"/>
      <c r="G20" s="148"/>
      <c r="H20" s="148"/>
      <c r="I20" s="148"/>
      <c r="J20" s="149" t="s">
        <v>60</v>
      </c>
      <c r="K20" s="150">
        <f>SUM(J10:J19)</f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</cols>
  <sheetData>
    <row r="4">
      <c r="B4" s="151" t="s">
        <v>265</v>
      </c>
      <c r="C4" s="152">
        <v>0.15</v>
      </c>
      <c r="I4" s="58" t="s">
        <v>266</v>
      </c>
    </row>
    <row r="5">
      <c r="B5" s="151" t="s">
        <v>267</v>
      </c>
      <c r="C5" s="152">
        <v>0.15</v>
      </c>
      <c r="I5" s="58" t="s">
        <v>268</v>
      </c>
      <c r="K5" s="58">
        <v>5.6</v>
      </c>
    </row>
    <row r="6">
      <c r="B6" s="153" t="s">
        <v>269</v>
      </c>
      <c r="C6" s="14"/>
      <c r="D6" s="14"/>
      <c r="E6" s="153" t="s">
        <v>270</v>
      </c>
      <c r="F6" s="14"/>
      <c r="G6" s="14"/>
      <c r="H6" s="14"/>
      <c r="I6" s="153" t="s">
        <v>271</v>
      </c>
      <c r="J6" s="153" t="s">
        <v>272</v>
      </c>
      <c r="K6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5.78"/>
    <col customWidth="1" min="3" max="3" width="11.22"/>
    <col customWidth="1" min="4" max="4" width="7.22"/>
    <col customWidth="1" min="5" max="6" width="6.0"/>
    <col customWidth="1" min="7" max="8" width="6.11"/>
    <col customWidth="1" min="9" max="9" width="4.44"/>
    <col customWidth="1" min="10" max="10" width="6.22"/>
    <col customWidth="1" min="11" max="11" width="5.33"/>
    <col customWidth="1" min="12" max="12" width="9.0"/>
    <col customWidth="1" min="13" max="13" width="9.33"/>
    <col customWidth="1" min="14" max="14" width="8.67"/>
    <col customWidth="1" min="15" max="15" width="9.22"/>
    <col customWidth="1" min="16" max="16" width="8.22"/>
    <col customWidth="1" min="17" max="17" width="8.33"/>
    <col customWidth="1" min="18" max="18" width="10.11"/>
    <col customWidth="1" min="19" max="19" width="12.44"/>
    <col customWidth="1" min="20" max="20" width="8.11"/>
  </cols>
  <sheetData>
    <row r="2">
      <c r="B2" s="1" t="s">
        <v>0</v>
      </c>
      <c r="C2" s="2"/>
      <c r="D2" s="3"/>
    </row>
    <row r="4">
      <c r="B4" s="154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6"/>
      <c r="U4" s="157"/>
      <c r="V4" s="157"/>
      <c r="W4" s="157"/>
      <c r="X4" s="157"/>
      <c r="Y4" s="157"/>
    </row>
    <row r="5">
      <c r="B5" s="158" t="s">
        <v>2</v>
      </c>
      <c r="C5" s="6" t="s">
        <v>3</v>
      </c>
      <c r="D5" s="3"/>
      <c r="E5" s="7"/>
      <c r="F5" s="8" t="s">
        <v>4</v>
      </c>
      <c r="G5" s="2"/>
      <c r="H5" s="3"/>
      <c r="I5" s="9"/>
      <c r="J5" s="10" t="s">
        <v>5</v>
      </c>
      <c r="K5" s="10" t="s">
        <v>6</v>
      </c>
      <c r="L5" s="159" t="s">
        <v>273</v>
      </c>
      <c r="M5" s="159" t="s">
        <v>274</v>
      </c>
      <c r="N5" s="159" t="s">
        <v>275</v>
      </c>
      <c r="O5" s="159" t="s">
        <v>276</v>
      </c>
      <c r="P5" s="159" t="s">
        <v>277</v>
      </c>
      <c r="Q5" s="159" t="s">
        <v>278</v>
      </c>
      <c r="R5" s="159" t="s">
        <v>279</v>
      </c>
      <c r="S5" s="160" t="s">
        <v>280</v>
      </c>
      <c r="T5" s="161"/>
    </row>
    <row r="6">
      <c r="B6" s="158" t="s">
        <v>7</v>
      </c>
      <c r="C6" s="6" t="s">
        <v>8</v>
      </c>
      <c r="D6" s="3"/>
      <c r="F6" s="13" t="s">
        <v>9</v>
      </c>
      <c r="G6" s="13" t="s">
        <v>10</v>
      </c>
      <c r="H6" s="9"/>
      <c r="I6" s="9"/>
      <c r="J6" s="13"/>
      <c r="K6" s="13"/>
      <c r="L6" s="13" t="b">
        <v>1</v>
      </c>
      <c r="M6" s="13" t="b">
        <v>1</v>
      </c>
      <c r="N6" s="13" t="b">
        <v>1</v>
      </c>
      <c r="O6" s="13" t="b">
        <v>1</v>
      </c>
      <c r="P6" s="13" t="b">
        <v>1</v>
      </c>
      <c r="Q6" s="13" t="b">
        <v>1</v>
      </c>
      <c r="R6" s="13" t="b">
        <v>1</v>
      </c>
      <c r="S6" s="162"/>
      <c r="T6" s="163"/>
    </row>
    <row r="7">
      <c r="B7" s="158" t="s">
        <v>12</v>
      </c>
      <c r="C7" s="6"/>
      <c r="D7" s="3"/>
      <c r="F7" s="16"/>
      <c r="G7" s="16"/>
      <c r="H7" s="9"/>
      <c r="I7" s="9"/>
      <c r="J7" s="17">
        <f t="shared" ref="J7:J26" si="1">((F7+F7+G7+G7))/1000</f>
        <v>0</v>
      </c>
      <c r="K7" s="17">
        <f t="shared" ref="K7:K26" si="2">(F7*G7)/1000000</f>
        <v>0</v>
      </c>
      <c r="L7" s="164">
        <f t="shared" ref="L7:L26" si="3">IF($L$6=true,K7*$C$26,0)</f>
        <v>0</v>
      </c>
      <c r="M7" s="164">
        <f t="shared" ref="M7:M26" si="4">IF($M$6=TRUE, IFS(K7=0,0,AND(K7&gt;0,K7&lt;=1),$C$41,K7&gt;1,$C$42),0)</f>
        <v>0</v>
      </c>
      <c r="N7" s="164">
        <f t="shared" ref="N7:N26" si="5">IF($N$6=true,J7*$C$36,0)</f>
        <v>0</v>
      </c>
      <c r="O7" s="164">
        <f t="shared" ref="O7:O26" si="6">IF($O$6=TRUE,IFS( AND(J7&lt;$C$45,J7&gt;0),$C$45,J7&gt;2,J7*$C$45,J7=0,0),0)</f>
        <v>0</v>
      </c>
      <c r="P7" s="164">
        <f t="shared" ref="P7:P26" si="7">IF($P$6=TRUE, IFS(K7=0,0,AND(K7&gt;0,K7&lt;=1),$C$48,K7&gt;1,$C$49),0)</f>
        <v>0</v>
      </c>
      <c r="Q7" s="164">
        <f t="shared" ref="Q7:Q26" si="8">IF($Q$6=TRUE, IFS(K7=0,0,K7&gt;0,$C$52*K7),0)</f>
        <v>0</v>
      </c>
      <c r="R7" s="164">
        <f t="shared" ref="R7:R26" si="9">IF($R$6=TRUE, IFS(K7=0,0,K7&gt;0,$C$52*K7),0)</f>
        <v>0</v>
      </c>
      <c r="S7" s="165" t="s">
        <v>281</v>
      </c>
      <c r="T7" s="166">
        <f t="shared" ref="T7:T26" si="10">IFS(S7="NO",0,S7="FACILE",$C$55,S7="MEDIO",$C$56,S7="DIFFICILE",$C$57)</f>
        <v>0</v>
      </c>
    </row>
    <row r="8">
      <c r="B8" s="167"/>
      <c r="F8" s="16"/>
      <c r="G8" s="16"/>
      <c r="H8" s="9"/>
      <c r="I8" s="9"/>
      <c r="J8" s="17">
        <f t="shared" si="1"/>
        <v>0</v>
      </c>
      <c r="K8" s="17">
        <f t="shared" si="2"/>
        <v>0</v>
      </c>
      <c r="L8" s="164">
        <f t="shared" si="3"/>
        <v>0</v>
      </c>
      <c r="M8" s="164">
        <f t="shared" si="4"/>
        <v>0</v>
      </c>
      <c r="N8" s="164">
        <f t="shared" si="5"/>
        <v>0</v>
      </c>
      <c r="O8" s="164">
        <f t="shared" si="6"/>
        <v>0</v>
      </c>
      <c r="P8" s="164">
        <f t="shared" si="7"/>
        <v>0</v>
      </c>
      <c r="Q8" s="164">
        <f t="shared" si="8"/>
        <v>0</v>
      </c>
      <c r="R8" s="164">
        <f t="shared" si="9"/>
        <v>0</v>
      </c>
      <c r="S8" s="165" t="s">
        <v>281</v>
      </c>
      <c r="T8" s="166">
        <f t="shared" si="10"/>
        <v>0</v>
      </c>
    </row>
    <row r="9">
      <c r="B9" s="168" t="s">
        <v>16</v>
      </c>
      <c r="C9" s="169"/>
      <c r="F9" s="16"/>
      <c r="G9" s="16"/>
      <c r="H9" s="9"/>
      <c r="I9" s="9"/>
      <c r="J9" s="17">
        <f t="shared" si="1"/>
        <v>0</v>
      </c>
      <c r="K9" s="17">
        <f t="shared" si="2"/>
        <v>0</v>
      </c>
      <c r="L9" s="164">
        <f t="shared" si="3"/>
        <v>0</v>
      </c>
      <c r="M9" s="164">
        <f t="shared" si="4"/>
        <v>0</v>
      </c>
      <c r="N9" s="164">
        <f t="shared" si="5"/>
        <v>0</v>
      </c>
      <c r="O9" s="164">
        <f t="shared" si="6"/>
        <v>0</v>
      </c>
      <c r="P9" s="164">
        <f t="shared" si="7"/>
        <v>0</v>
      </c>
      <c r="Q9" s="164">
        <f t="shared" si="8"/>
        <v>0</v>
      </c>
      <c r="R9" s="164">
        <f t="shared" si="9"/>
        <v>0</v>
      </c>
      <c r="S9" s="165" t="s">
        <v>281</v>
      </c>
      <c r="T9" s="166">
        <f t="shared" si="10"/>
        <v>0</v>
      </c>
    </row>
    <row r="10">
      <c r="B10" s="170"/>
      <c r="C10" s="171"/>
      <c r="F10" s="16"/>
      <c r="G10" s="16"/>
      <c r="H10" s="9"/>
      <c r="I10" s="9"/>
      <c r="J10" s="17">
        <f t="shared" si="1"/>
        <v>0</v>
      </c>
      <c r="K10" s="17">
        <f t="shared" si="2"/>
        <v>0</v>
      </c>
      <c r="L10" s="164">
        <f t="shared" si="3"/>
        <v>0</v>
      </c>
      <c r="M10" s="164">
        <f t="shared" si="4"/>
        <v>0</v>
      </c>
      <c r="N10" s="164">
        <f t="shared" si="5"/>
        <v>0</v>
      </c>
      <c r="O10" s="164">
        <f t="shared" si="6"/>
        <v>0</v>
      </c>
      <c r="P10" s="164">
        <f t="shared" si="7"/>
        <v>0</v>
      </c>
      <c r="Q10" s="164">
        <f t="shared" si="8"/>
        <v>0</v>
      </c>
      <c r="R10" s="164">
        <f t="shared" si="9"/>
        <v>0</v>
      </c>
      <c r="S10" s="165" t="s">
        <v>281</v>
      </c>
      <c r="T10" s="166">
        <f t="shared" si="10"/>
        <v>0</v>
      </c>
    </row>
    <row r="11">
      <c r="B11" s="170" t="s">
        <v>18</v>
      </c>
      <c r="C11" s="26">
        <v>2800.0</v>
      </c>
      <c r="D11" s="18"/>
      <c r="F11" s="16"/>
      <c r="G11" s="16"/>
      <c r="H11" s="9"/>
      <c r="I11" s="9"/>
      <c r="J11" s="17">
        <f t="shared" si="1"/>
        <v>0</v>
      </c>
      <c r="K11" s="17">
        <f t="shared" si="2"/>
        <v>0</v>
      </c>
      <c r="L11" s="164">
        <f t="shared" si="3"/>
        <v>0</v>
      </c>
      <c r="M11" s="164">
        <f t="shared" si="4"/>
        <v>0</v>
      </c>
      <c r="N11" s="164">
        <f t="shared" si="5"/>
        <v>0</v>
      </c>
      <c r="O11" s="164">
        <f t="shared" si="6"/>
        <v>0</v>
      </c>
      <c r="P11" s="164">
        <f t="shared" si="7"/>
        <v>0</v>
      </c>
      <c r="Q11" s="164">
        <f t="shared" si="8"/>
        <v>0</v>
      </c>
      <c r="R11" s="164">
        <f t="shared" si="9"/>
        <v>0</v>
      </c>
      <c r="S11" s="165" t="s">
        <v>281</v>
      </c>
      <c r="T11" s="166">
        <f t="shared" si="10"/>
        <v>0</v>
      </c>
    </row>
    <row r="12">
      <c r="B12" s="170" t="s">
        <v>20</v>
      </c>
      <c r="C12" s="26">
        <v>2070.0</v>
      </c>
      <c r="D12" s="18"/>
      <c r="F12" s="16"/>
      <c r="G12" s="16"/>
      <c r="H12" s="9"/>
      <c r="I12" s="9"/>
      <c r="J12" s="17">
        <f t="shared" si="1"/>
        <v>0</v>
      </c>
      <c r="K12" s="17">
        <f t="shared" si="2"/>
        <v>0</v>
      </c>
      <c r="L12" s="164">
        <f t="shared" si="3"/>
        <v>0</v>
      </c>
      <c r="M12" s="164">
        <f t="shared" si="4"/>
        <v>0</v>
      </c>
      <c r="N12" s="164">
        <f t="shared" si="5"/>
        <v>0</v>
      </c>
      <c r="O12" s="164">
        <f t="shared" si="6"/>
        <v>0</v>
      </c>
      <c r="P12" s="164">
        <f t="shared" si="7"/>
        <v>0</v>
      </c>
      <c r="Q12" s="164">
        <f t="shared" si="8"/>
        <v>0</v>
      </c>
      <c r="R12" s="164">
        <f t="shared" si="9"/>
        <v>0</v>
      </c>
      <c r="S12" s="165" t="s">
        <v>281</v>
      </c>
      <c r="T12" s="166">
        <f t="shared" si="10"/>
        <v>0</v>
      </c>
    </row>
    <row r="13">
      <c r="B13" s="170" t="s">
        <v>22</v>
      </c>
      <c r="C13" s="26">
        <v>19.0</v>
      </c>
      <c r="D13" s="18"/>
      <c r="F13" s="16"/>
      <c r="G13" s="16"/>
      <c r="H13" s="9"/>
      <c r="I13" s="9"/>
      <c r="J13" s="17">
        <f t="shared" si="1"/>
        <v>0</v>
      </c>
      <c r="K13" s="17">
        <f t="shared" si="2"/>
        <v>0</v>
      </c>
      <c r="L13" s="164">
        <f t="shared" si="3"/>
        <v>0</v>
      </c>
      <c r="M13" s="164">
        <f t="shared" si="4"/>
        <v>0</v>
      </c>
      <c r="N13" s="164">
        <f t="shared" si="5"/>
        <v>0</v>
      </c>
      <c r="O13" s="164">
        <f t="shared" si="6"/>
        <v>0</v>
      </c>
      <c r="P13" s="164">
        <f t="shared" si="7"/>
        <v>0</v>
      </c>
      <c r="Q13" s="164">
        <f t="shared" si="8"/>
        <v>0</v>
      </c>
      <c r="R13" s="164">
        <f t="shared" si="9"/>
        <v>0</v>
      </c>
      <c r="S13" s="165" t="s">
        <v>281</v>
      </c>
      <c r="T13" s="166">
        <f t="shared" si="10"/>
        <v>0</v>
      </c>
    </row>
    <row r="14">
      <c r="B14" s="172" t="s">
        <v>23</v>
      </c>
      <c r="C14" s="173">
        <f>(C11*C12)/1000000</f>
        <v>5.796</v>
      </c>
      <c r="D14" s="28"/>
      <c r="F14" s="16"/>
      <c r="G14" s="16"/>
      <c r="H14" s="13"/>
      <c r="I14" s="13"/>
      <c r="J14" s="17">
        <f t="shared" si="1"/>
        <v>0</v>
      </c>
      <c r="K14" s="17">
        <f t="shared" si="2"/>
        <v>0</v>
      </c>
      <c r="L14" s="164">
        <f t="shared" si="3"/>
        <v>0</v>
      </c>
      <c r="M14" s="164">
        <f t="shared" si="4"/>
        <v>0</v>
      </c>
      <c r="N14" s="164">
        <f t="shared" si="5"/>
        <v>0</v>
      </c>
      <c r="O14" s="164">
        <f t="shared" si="6"/>
        <v>0</v>
      </c>
      <c r="P14" s="164">
        <f t="shared" si="7"/>
        <v>0</v>
      </c>
      <c r="Q14" s="164">
        <f t="shared" si="8"/>
        <v>0</v>
      </c>
      <c r="R14" s="164">
        <f t="shared" si="9"/>
        <v>0</v>
      </c>
      <c r="S14" s="165" t="s">
        <v>281</v>
      </c>
      <c r="T14" s="166">
        <f t="shared" si="10"/>
        <v>0</v>
      </c>
    </row>
    <row r="15">
      <c r="B15" s="167"/>
      <c r="F15" s="27"/>
      <c r="G15" s="27"/>
      <c r="H15" s="13"/>
      <c r="I15" s="13"/>
      <c r="J15" s="17">
        <f t="shared" si="1"/>
        <v>0</v>
      </c>
      <c r="K15" s="17">
        <f t="shared" si="2"/>
        <v>0</v>
      </c>
      <c r="L15" s="164">
        <f t="shared" si="3"/>
        <v>0</v>
      </c>
      <c r="M15" s="164">
        <f t="shared" si="4"/>
        <v>0</v>
      </c>
      <c r="N15" s="164">
        <f t="shared" si="5"/>
        <v>0</v>
      </c>
      <c r="O15" s="164">
        <f t="shared" si="6"/>
        <v>0</v>
      </c>
      <c r="P15" s="164">
        <f t="shared" si="7"/>
        <v>0</v>
      </c>
      <c r="Q15" s="164">
        <f t="shared" si="8"/>
        <v>0</v>
      </c>
      <c r="R15" s="164">
        <f t="shared" si="9"/>
        <v>0</v>
      </c>
      <c r="S15" s="165" t="s">
        <v>281</v>
      </c>
      <c r="T15" s="166">
        <f t="shared" si="10"/>
        <v>0</v>
      </c>
    </row>
    <row r="16">
      <c r="B16" s="174" t="s">
        <v>282</v>
      </c>
      <c r="C16" s="169"/>
      <c r="F16" s="27"/>
      <c r="G16" s="27"/>
      <c r="H16" s="13"/>
      <c r="I16" s="13"/>
      <c r="J16" s="17">
        <f t="shared" si="1"/>
        <v>0</v>
      </c>
      <c r="K16" s="17">
        <f t="shared" si="2"/>
        <v>0</v>
      </c>
      <c r="L16" s="164">
        <f t="shared" si="3"/>
        <v>0</v>
      </c>
      <c r="M16" s="164">
        <f t="shared" si="4"/>
        <v>0</v>
      </c>
      <c r="N16" s="164">
        <f t="shared" si="5"/>
        <v>0</v>
      </c>
      <c r="O16" s="164">
        <f t="shared" si="6"/>
        <v>0</v>
      </c>
      <c r="P16" s="164">
        <f t="shared" si="7"/>
        <v>0</v>
      </c>
      <c r="Q16" s="164">
        <f t="shared" si="8"/>
        <v>0</v>
      </c>
      <c r="R16" s="164">
        <f t="shared" si="9"/>
        <v>0</v>
      </c>
      <c r="S16" s="165" t="s">
        <v>281</v>
      </c>
      <c r="T16" s="166">
        <f t="shared" si="10"/>
        <v>0</v>
      </c>
    </row>
    <row r="17">
      <c r="B17" s="175" t="s">
        <v>266</v>
      </c>
      <c r="C17" s="176"/>
      <c r="D17" s="30"/>
      <c r="F17" s="27"/>
      <c r="G17" s="27"/>
      <c r="H17" s="13"/>
      <c r="I17" s="13"/>
      <c r="J17" s="17">
        <f t="shared" si="1"/>
        <v>0</v>
      </c>
      <c r="K17" s="17">
        <f t="shared" si="2"/>
        <v>0</v>
      </c>
      <c r="L17" s="164">
        <f t="shared" si="3"/>
        <v>0</v>
      </c>
      <c r="M17" s="164">
        <f t="shared" si="4"/>
        <v>0</v>
      </c>
      <c r="N17" s="164">
        <f t="shared" si="5"/>
        <v>0</v>
      </c>
      <c r="O17" s="164">
        <f t="shared" si="6"/>
        <v>0</v>
      </c>
      <c r="P17" s="164">
        <f t="shared" si="7"/>
        <v>0</v>
      </c>
      <c r="Q17" s="164">
        <f t="shared" si="8"/>
        <v>0</v>
      </c>
      <c r="R17" s="164">
        <f t="shared" si="9"/>
        <v>0</v>
      </c>
      <c r="S17" s="165" t="s">
        <v>281</v>
      </c>
      <c r="T17" s="177">
        <f t="shared" si="10"/>
        <v>0</v>
      </c>
    </row>
    <row r="18">
      <c r="B18" s="178" t="s">
        <v>6</v>
      </c>
      <c r="C18" s="45">
        <v>20.2</v>
      </c>
      <c r="F18" s="16"/>
      <c r="G18" s="16"/>
      <c r="H18" s="9"/>
      <c r="I18" s="9"/>
      <c r="J18" s="17">
        <f t="shared" si="1"/>
        <v>0</v>
      </c>
      <c r="K18" s="17">
        <f t="shared" si="2"/>
        <v>0</v>
      </c>
      <c r="L18" s="164">
        <f t="shared" si="3"/>
        <v>0</v>
      </c>
      <c r="M18" s="164">
        <f t="shared" si="4"/>
        <v>0</v>
      </c>
      <c r="N18" s="164">
        <f t="shared" si="5"/>
        <v>0</v>
      </c>
      <c r="O18" s="164">
        <f t="shared" si="6"/>
        <v>0</v>
      </c>
      <c r="P18" s="164">
        <f t="shared" si="7"/>
        <v>0</v>
      </c>
      <c r="Q18" s="164">
        <f t="shared" si="8"/>
        <v>0</v>
      </c>
      <c r="R18" s="164">
        <f t="shared" si="9"/>
        <v>0</v>
      </c>
      <c r="S18" s="165" t="s">
        <v>281</v>
      </c>
      <c r="T18" s="166">
        <f t="shared" si="10"/>
        <v>0</v>
      </c>
    </row>
    <row r="19">
      <c r="B19" s="178" t="s">
        <v>27</v>
      </c>
      <c r="C19" s="179">
        <f>C18*C14</f>
        <v>117.0792</v>
      </c>
      <c r="F19" s="16"/>
      <c r="G19" s="16"/>
      <c r="H19" s="9"/>
      <c r="I19" s="9"/>
      <c r="J19" s="17">
        <f t="shared" si="1"/>
        <v>0</v>
      </c>
      <c r="K19" s="17">
        <f t="shared" si="2"/>
        <v>0</v>
      </c>
      <c r="L19" s="164">
        <f t="shared" si="3"/>
        <v>0</v>
      </c>
      <c r="M19" s="164">
        <f t="shared" si="4"/>
        <v>0</v>
      </c>
      <c r="N19" s="164">
        <f t="shared" si="5"/>
        <v>0</v>
      </c>
      <c r="O19" s="164">
        <f t="shared" si="6"/>
        <v>0</v>
      </c>
      <c r="P19" s="164">
        <f t="shared" si="7"/>
        <v>0</v>
      </c>
      <c r="Q19" s="164">
        <f t="shared" si="8"/>
        <v>0</v>
      </c>
      <c r="R19" s="164">
        <f t="shared" si="9"/>
        <v>0</v>
      </c>
      <c r="S19" s="165" t="s">
        <v>281</v>
      </c>
      <c r="T19" s="166">
        <f t="shared" si="10"/>
        <v>0</v>
      </c>
    </row>
    <row r="20">
      <c r="B20" s="178" t="s">
        <v>29</v>
      </c>
      <c r="C20" s="180">
        <v>0.45</v>
      </c>
      <c r="F20" s="16"/>
      <c r="G20" s="16"/>
      <c r="H20" s="9"/>
      <c r="I20" s="9"/>
      <c r="J20" s="17">
        <f t="shared" si="1"/>
        <v>0</v>
      </c>
      <c r="K20" s="17">
        <f t="shared" si="2"/>
        <v>0</v>
      </c>
      <c r="L20" s="164">
        <f t="shared" si="3"/>
        <v>0</v>
      </c>
      <c r="M20" s="164">
        <f t="shared" si="4"/>
        <v>0</v>
      </c>
      <c r="N20" s="164">
        <f t="shared" si="5"/>
        <v>0</v>
      </c>
      <c r="O20" s="164">
        <f t="shared" si="6"/>
        <v>0</v>
      </c>
      <c r="P20" s="164">
        <f t="shared" si="7"/>
        <v>0</v>
      </c>
      <c r="Q20" s="164">
        <f t="shared" si="8"/>
        <v>0</v>
      </c>
      <c r="R20" s="164">
        <f t="shared" si="9"/>
        <v>0</v>
      </c>
      <c r="S20" s="165" t="s">
        <v>281</v>
      </c>
      <c r="T20" s="166">
        <f t="shared" si="10"/>
        <v>0</v>
      </c>
    </row>
    <row r="21" ht="15.75" customHeight="1">
      <c r="B21" s="178" t="s">
        <v>283</v>
      </c>
      <c r="C21" s="181">
        <v>1.5</v>
      </c>
      <c r="F21" s="16"/>
      <c r="G21" s="16"/>
      <c r="H21" s="9"/>
      <c r="I21" s="9"/>
      <c r="J21" s="17">
        <f t="shared" si="1"/>
        <v>0</v>
      </c>
      <c r="K21" s="17">
        <f t="shared" si="2"/>
        <v>0</v>
      </c>
      <c r="L21" s="164">
        <f t="shared" si="3"/>
        <v>0</v>
      </c>
      <c r="M21" s="164">
        <f t="shared" si="4"/>
        <v>0</v>
      </c>
      <c r="N21" s="164">
        <f t="shared" si="5"/>
        <v>0</v>
      </c>
      <c r="O21" s="164">
        <f t="shared" si="6"/>
        <v>0</v>
      </c>
      <c r="P21" s="164">
        <f t="shared" si="7"/>
        <v>0</v>
      </c>
      <c r="Q21" s="164">
        <f t="shared" si="8"/>
        <v>0</v>
      </c>
      <c r="R21" s="164">
        <f t="shared" si="9"/>
        <v>0</v>
      </c>
      <c r="S21" s="165" t="s">
        <v>281</v>
      </c>
      <c r="T21" s="166">
        <f t="shared" si="10"/>
        <v>0</v>
      </c>
    </row>
    <row r="22" ht="15.75" customHeight="1">
      <c r="B22" s="182" t="s">
        <v>81</v>
      </c>
      <c r="C22" s="176"/>
      <c r="F22" s="16"/>
      <c r="G22" s="16"/>
      <c r="H22" s="9"/>
      <c r="I22" s="9"/>
      <c r="J22" s="17">
        <f t="shared" si="1"/>
        <v>0</v>
      </c>
      <c r="K22" s="17">
        <f t="shared" si="2"/>
        <v>0</v>
      </c>
      <c r="L22" s="164">
        <f t="shared" si="3"/>
        <v>0</v>
      </c>
      <c r="M22" s="164">
        <f t="shared" si="4"/>
        <v>0</v>
      </c>
      <c r="N22" s="164">
        <f t="shared" si="5"/>
        <v>0</v>
      </c>
      <c r="O22" s="164">
        <f t="shared" si="6"/>
        <v>0</v>
      </c>
      <c r="P22" s="164">
        <f t="shared" si="7"/>
        <v>0</v>
      </c>
      <c r="Q22" s="164">
        <f t="shared" si="8"/>
        <v>0</v>
      </c>
      <c r="R22" s="164">
        <f t="shared" si="9"/>
        <v>0</v>
      </c>
      <c r="S22" s="165" t="s">
        <v>281</v>
      </c>
      <c r="T22" s="166">
        <f t="shared" si="10"/>
        <v>0</v>
      </c>
    </row>
    <row r="23" ht="15.75" customHeight="1">
      <c r="B23" s="183" t="s">
        <v>6</v>
      </c>
      <c r="C23" s="184">
        <f>C18*(1-C20)</f>
        <v>11.11</v>
      </c>
      <c r="F23" s="16"/>
      <c r="G23" s="16"/>
      <c r="H23" s="9"/>
      <c r="I23" s="9"/>
      <c r="J23" s="17">
        <f t="shared" si="1"/>
        <v>0</v>
      </c>
      <c r="K23" s="17">
        <f t="shared" si="2"/>
        <v>0</v>
      </c>
      <c r="L23" s="164">
        <f t="shared" si="3"/>
        <v>0</v>
      </c>
      <c r="M23" s="164">
        <f t="shared" si="4"/>
        <v>0</v>
      </c>
      <c r="N23" s="164">
        <f t="shared" si="5"/>
        <v>0</v>
      </c>
      <c r="O23" s="164">
        <f t="shared" si="6"/>
        <v>0</v>
      </c>
      <c r="P23" s="164">
        <f t="shared" si="7"/>
        <v>0</v>
      </c>
      <c r="Q23" s="164">
        <f t="shared" si="8"/>
        <v>0</v>
      </c>
      <c r="R23" s="164">
        <f t="shared" si="9"/>
        <v>0</v>
      </c>
      <c r="S23" s="165" t="s">
        <v>281</v>
      </c>
      <c r="T23" s="166">
        <f t="shared" si="10"/>
        <v>0</v>
      </c>
    </row>
    <row r="24" ht="15.75" customHeight="1">
      <c r="B24" s="183" t="s">
        <v>27</v>
      </c>
      <c r="C24" s="184">
        <f>C14*C23</f>
        <v>64.39356</v>
      </c>
      <c r="F24" s="16"/>
      <c r="G24" s="16"/>
      <c r="H24" s="9"/>
      <c r="I24" s="9"/>
      <c r="J24" s="17">
        <f t="shared" si="1"/>
        <v>0</v>
      </c>
      <c r="K24" s="17">
        <f t="shared" si="2"/>
        <v>0</v>
      </c>
      <c r="L24" s="164">
        <f t="shared" si="3"/>
        <v>0</v>
      </c>
      <c r="M24" s="164">
        <f t="shared" si="4"/>
        <v>0</v>
      </c>
      <c r="N24" s="164">
        <f t="shared" si="5"/>
        <v>0</v>
      </c>
      <c r="O24" s="164">
        <f t="shared" si="6"/>
        <v>0</v>
      </c>
      <c r="P24" s="164">
        <f t="shared" si="7"/>
        <v>0</v>
      </c>
      <c r="Q24" s="164">
        <f t="shared" si="8"/>
        <v>0</v>
      </c>
      <c r="R24" s="164">
        <f t="shared" si="9"/>
        <v>0</v>
      </c>
      <c r="S24" s="165" t="s">
        <v>281</v>
      </c>
      <c r="T24" s="166">
        <f t="shared" si="10"/>
        <v>0</v>
      </c>
    </row>
    <row r="25" ht="15.75" customHeight="1">
      <c r="B25" s="185" t="s">
        <v>235</v>
      </c>
      <c r="C25" s="176"/>
      <c r="F25" s="16"/>
      <c r="G25" s="16"/>
      <c r="H25" s="13"/>
      <c r="I25" s="13"/>
      <c r="J25" s="17">
        <f t="shared" si="1"/>
        <v>0</v>
      </c>
      <c r="K25" s="17">
        <f t="shared" si="2"/>
        <v>0</v>
      </c>
      <c r="L25" s="164">
        <f t="shared" si="3"/>
        <v>0</v>
      </c>
      <c r="M25" s="164">
        <f t="shared" si="4"/>
        <v>0</v>
      </c>
      <c r="N25" s="164">
        <f t="shared" si="5"/>
        <v>0</v>
      </c>
      <c r="O25" s="164">
        <f t="shared" si="6"/>
        <v>0</v>
      </c>
      <c r="P25" s="164">
        <f t="shared" si="7"/>
        <v>0</v>
      </c>
      <c r="Q25" s="164">
        <f t="shared" si="8"/>
        <v>0</v>
      </c>
      <c r="R25" s="164">
        <f t="shared" si="9"/>
        <v>0</v>
      </c>
      <c r="S25" s="165" t="s">
        <v>281</v>
      </c>
      <c r="T25" s="166">
        <f t="shared" si="10"/>
        <v>0</v>
      </c>
    </row>
    <row r="26" ht="15.75" customHeight="1">
      <c r="B26" s="186" t="s">
        <v>6</v>
      </c>
      <c r="C26" s="187">
        <f t="shared" ref="C26:C27" si="11">C23*(1+$C$21)</f>
        <v>27.775</v>
      </c>
      <c r="F26" s="27"/>
      <c r="G26" s="27"/>
      <c r="H26" s="13"/>
      <c r="I26" s="13"/>
      <c r="J26" s="17">
        <f t="shared" si="1"/>
        <v>0</v>
      </c>
      <c r="K26" s="17">
        <f t="shared" si="2"/>
        <v>0</v>
      </c>
      <c r="L26" s="164">
        <f t="shared" si="3"/>
        <v>0</v>
      </c>
      <c r="M26" s="164">
        <f t="shared" si="4"/>
        <v>0</v>
      </c>
      <c r="N26" s="164">
        <f t="shared" si="5"/>
        <v>0</v>
      </c>
      <c r="O26" s="164">
        <f t="shared" si="6"/>
        <v>0</v>
      </c>
      <c r="P26" s="164">
        <f t="shared" si="7"/>
        <v>0</v>
      </c>
      <c r="Q26" s="164">
        <f t="shared" si="8"/>
        <v>0</v>
      </c>
      <c r="R26" s="164">
        <f t="shared" si="9"/>
        <v>0</v>
      </c>
      <c r="S26" s="165" t="s">
        <v>281</v>
      </c>
      <c r="T26" s="166">
        <f t="shared" si="10"/>
        <v>0</v>
      </c>
    </row>
    <row r="27" ht="15.75" customHeight="1">
      <c r="B27" s="188" t="s">
        <v>27</v>
      </c>
      <c r="C27" s="189">
        <f t="shared" si="11"/>
        <v>160.9839</v>
      </c>
      <c r="T27" s="190"/>
    </row>
    <row r="28" ht="15.75" customHeight="1">
      <c r="B28" s="167"/>
      <c r="T28" s="190"/>
    </row>
    <row r="29" ht="15.75" customHeight="1">
      <c r="B29" s="174" t="s">
        <v>31</v>
      </c>
      <c r="C29" s="169"/>
      <c r="T29" s="190"/>
    </row>
    <row r="30" ht="15.75" customHeight="1">
      <c r="B30" s="175" t="s">
        <v>266</v>
      </c>
      <c r="C30" s="176"/>
      <c r="T30" s="190"/>
    </row>
    <row r="31" ht="15.75" customHeight="1">
      <c r="B31" s="178" t="s">
        <v>6</v>
      </c>
      <c r="C31" s="191">
        <v>30.0</v>
      </c>
      <c r="F31" s="192" t="s">
        <v>284</v>
      </c>
      <c r="G31" s="111"/>
      <c r="H31" s="193"/>
      <c r="I31" s="193"/>
      <c r="J31" s="194">
        <f t="shared" ref="J31:R31" si="12">SUM(J7:J26)</f>
        <v>0</v>
      </c>
      <c r="K31" s="194">
        <f t="shared" si="12"/>
        <v>0</v>
      </c>
      <c r="L31" s="195">
        <f t="shared" si="12"/>
        <v>0</v>
      </c>
      <c r="M31" s="195">
        <f t="shared" si="12"/>
        <v>0</v>
      </c>
      <c r="N31" s="195">
        <f t="shared" si="12"/>
        <v>0</v>
      </c>
      <c r="O31" s="195">
        <f t="shared" si="12"/>
        <v>0</v>
      </c>
      <c r="P31" s="195">
        <f t="shared" si="12"/>
        <v>0</v>
      </c>
      <c r="Q31" s="195">
        <f t="shared" si="12"/>
        <v>0</v>
      </c>
      <c r="R31" s="195">
        <f t="shared" si="12"/>
        <v>0</v>
      </c>
      <c r="S31" s="193"/>
      <c r="T31" s="195">
        <f>SUM(T7:T26)</f>
        <v>0</v>
      </c>
    </row>
    <row r="32" ht="15.75" customHeight="1">
      <c r="B32" s="178" t="s">
        <v>29</v>
      </c>
      <c r="C32" s="180">
        <v>0.4</v>
      </c>
      <c r="T32" s="190"/>
    </row>
    <row r="33" ht="15.75" customHeight="1">
      <c r="B33" s="178" t="s">
        <v>30</v>
      </c>
      <c r="C33" s="180">
        <v>0.1</v>
      </c>
      <c r="T33" s="190"/>
    </row>
    <row r="34" ht="15.75" customHeight="1">
      <c r="B34" s="178" t="s">
        <v>59</v>
      </c>
      <c r="C34" s="181">
        <v>1.0</v>
      </c>
      <c r="S34" s="51" t="s">
        <v>63</v>
      </c>
      <c r="T34" s="196">
        <f>SUM(L31:R31,T31)</f>
        <v>0</v>
      </c>
    </row>
    <row r="35" ht="15.75" customHeight="1">
      <c r="B35" s="182" t="s">
        <v>81</v>
      </c>
      <c r="C35" s="176"/>
      <c r="S35" s="53"/>
      <c r="T35" s="197"/>
    </row>
    <row r="36" ht="15.75" customHeight="1">
      <c r="B36" s="183" t="s">
        <v>5</v>
      </c>
      <c r="C36" s="184">
        <f>((((C13/1000)+0.005)*C31)*(1-C32))*(1+C33)</f>
        <v>0.4752</v>
      </c>
      <c r="S36" s="54" t="s">
        <v>29</v>
      </c>
      <c r="T36" s="198">
        <v>0.0</v>
      </c>
    </row>
    <row r="37" ht="15.75" customHeight="1">
      <c r="B37" s="185" t="s">
        <v>235</v>
      </c>
      <c r="C37" s="176"/>
      <c r="H37" s="58"/>
      <c r="S37" s="54" t="s">
        <v>285</v>
      </c>
      <c r="T37" s="199">
        <v>0.0</v>
      </c>
    </row>
    <row r="38" ht="15.75" customHeight="1">
      <c r="B38" s="188" t="s">
        <v>5</v>
      </c>
      <c r="C38" s="200">
        <f>C36*(1+$C$34)</f>
        <v>0.9504</v>
      </c>
      <c r="S38" s="54"/>
      <c r="T38" s="201"/>
    </row>
    <row r="39" ht="15.75" customHeight="1">
      <c r="B39" s="202"/>
      <c r="S39" s="54" t="s">
        <v>65</v>
      </c>
      <c r="T39" s="196">
        <f>(T34*(1-T36))*(1+T37)</f>
        <v>0</v>
      </c>
    </row>
    <row r="40" ht="15.75" customHeight="1">
      <c r="B40" s="168" t="s">
        <v>286</v>
      </c>
      <c r="C40" s="169"/>
      <c r="T40" s="190"/>
    </row>
    <row r="41" ht="15.75" customHeight="1">
      <c r="B41" s="203" t="s">
        <v>287</v>
      </c>
      <c r="C41" s="204">
        <v>3.0</v>
      </c>
      <c r="T41" s="190"/>
    </row>
    <row r="42" ht="15.75" customHeight="1">
      <c r="B42" s="205" t="s">
        <v>288</v>
      </c>
      <c r="C42" s="206">
        <v>5.0</v>
      </c>
      <c r="T42" s="190"/>
    </row>
    <row r="43" ht="15.75" customHeight="1">
      <c r="B43" s="167"/>
      <c r="T43" s="190"/>
    </row>
    <row r="44" ht="15.75" customHeight="1">
      <c r="B44" s="168" t="s">
        <v>289</v>
      </c>
      <c r="C44" s="169"/>
      <c r="T44" s="190"/>
    </row>
    <row r="45" ht="15.75" customHeight="1">
      <c r="B45" s="207" t="s">
        <v>290</v>
      </c>
      <c r="C45" s="206">
        <v>2.0</v>
      </c>
      <c r="N45" s="58"/>
      <c r="T45" s="190"/>
    </row>
    <row r="46" ht="15.75" customHeight="1">
      <c r="B46" s="167"/>
      <c r="T46" s="190"/>
    </row>
    <row r="47" ht="15.75" customHeight="1">
      <c r="B47" s="168" t="s">
        <v>291</v>
      </c>
      <c r="C47" s="169"/>
      <c r="T47" s="190"/>
    </row>
    <row r="48" ht="15.75" customHeight="1">
      <c r="B48" s="203" t="s">
        <v>292</v>
      </c>
      <c r="C48" s="204">
        <v>1.5</v>
      </c>
      <c r="T48" s="190"/>
    </row>
    <row r="49" ht="15.75" customHeight="1">
      <c r="B49" s="207" t="s">
        <v>293</v>
      </c>
      <c r="C49" s="206">
        <v>3.0</v>
      </c>
      <c r="T49" s="190"/>
    </row>
    <row r="50" ht="15.75" customHeight="1">
      <c r="B50" s="167"/>
      <c r="T50" s="190"/>
    </row>
    <row r="51" ht="15.75" customHeight="1">
      <c r="B51" s="168" t="s">
        <v>294</v>
      </c>
      <c r="C51" s="169"/>
      <c r="T51" s="190"/>
    </row>
    <row r="52" ht="15.75" customHeight="1">
      <c r="B52" s="207" t="s">
        <v>278</v>
      </c>
      <c r="C52" s="206">
        <v>50.0</v>
      </c>
      <c r="T52" s="190"/>
    </row>
    <row r="53" ht="15.75" customHeight="1">
      <c r="B53" s="167"/>
      <c r="T53" s="190"/>
    </row>
    <row r="54" ht="15.75" customHeight="1">
      <c r="B54" s="168" t="s">
        <v>295</v>
      </c>
      <c r="C54" s="169"/>
      <c r="T54" s="190"/>
    </row>
    <row r="55" ht="15.75" customHeight="1">
      <c r="B55" s="203" t="s">
        <v>296</v>
      </c>
      <c r="C55" s="204">
        <v>5.0</v>
      </c>
      <c r="T55" s="190"/>
    </row>
    <row r="56" ht="15.75" customHeight="1">
      <c r="B56" s="203" t="s">
        <v>297</v>
      </c>
      <c r="C56" s="204">
        <v>7.0</v>
      </c>
      <c r="T56" s="190"/>
    </row>
    <row r="57" ht="15.75" customHeight="1">
      <c r="B57" s="208" t="s">
        <v>298</v>
      </c>
      <c r="C57" s="209">
        <v>12.0</v>
      </c>
      <c r="D57" s="210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1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2:D2"/>
    <mergeCell ref="C5:D5"/>
    <mergeCell ref="F5:H5"/>
    <mergeCell ref="S5:T5"/>
    <mergeCell ref="C6:D6"/>
    <mergeCell ref="C7:D7"/>
    <mergeCell ref="B9:C9"/>
    <mergeCell ref="B35:C35"/>
    <mergeCell ref="B37:C37"/>
    <mergeCell ref="B39:C39"/>
    <mergeCell ref="B40:C40"/>
    <mergeCell ref="B44:C44"/>
    <mergeCell ref="B47:C47"/>
    <mergeCell ref="B51:C51"/>
    <mergeCell ref="B54:C54"/>
    <mergeCell ref="B16:C16"/>
    <mergeCell ref="B17:C17"/>
    <mergeCell ref="B22:C22"/>
    <mergeCell ref="B25:C25"/>
    <mergeCell ref="B29:C29"/>
    <mergeCell ref="B30:C30"/>
    <mergeCell ref="F31:G31"/>
  </mergeCells>
  <conditionalFormatting sqref="H6:R6 T6:T26">
    <cfRule type="notContainsBlanks" dxfId="0" priority="1">
      <formula>LEN(TRIM(H6))&gt;0</formula>
    </cfRule>
  </conditionalFormatting>
  <dataValidations>
    <dataValidation type="list" allowBlank="1" showErrorMessage="1" sqref="S7:S26">
      <formula1>"NO,FACILE,MEDIO,DIFFICILE"</formula1>
    </dataValidation>
  </dataValidations>
  <drawing r:id="rId1"/>
  <tableParts count="1">
    <tablePart r:id="rId3"/>
  </tableParts>
</worksheet>
</file>